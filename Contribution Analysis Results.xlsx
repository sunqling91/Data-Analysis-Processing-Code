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 activeTab="5"/>
  </bookViews>
  <sheets>
    <sheet name="反归一化" sheetId="1" r:id="rId1"/>
    <sheet name="计算贡献" sheetId="2" r:id="rId2"/>
    <sheet name="相对贡献" sheetId="3" r:id="rId3"/>
    <sheet name="结果汇总" sheetId="4" r:id="rId4"/>
    <sheet name="MC" sheetId="5" r:id="rId5"/>
    <sheet name="MC统计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<sst xmlns="http://schemas.openxmlformats.org/spreadsheetml/2006/main" count="4855" uniqueCount="113">
  <si>
    <t>PLS</t>
  </si>
  <si>
    <t>干湿区域</t>
  </si>
  <si>
    <t>Period</t>
  </si>
  <si>
    <t>Coefficients</t>
  </si>
  <si>
    <t>SD</t>
  </si>
  <si>
    <t>cf</t>
  </si>
  <si>
    <t>52765车前</t>
  </si>
  <si>
    <t>arid/semi-arid</t>
  </si>
  <si>
    <t>4-6</t>
  </si>
  <si>
    <t>0-40cm</t>
  </si>
  <si>
    <t>pre</t>
  </si>
  <si>
    <t>TMEAN</t>
  </si>
  <si>
    <t>SSD</t>
  </si>
  <si>
    <t>GUD</t>
  </si>
  <si>
    <t>7-9</t>
  </si>
  <si>
    <t>4-9</t>
  </si>
  <si>
    <t>52765马蔺</t>
  </si>
  <si>
    <t>52765蒲公英</t>
  </si>
  <si>
    <t>52765油菜</t>
  </si>
  <si>
    <t>52825芦苇</t>
  </si>
  <si>
    <t>52825小麦</t>
  </si>
  <si>
    <t>52868冰草</t>
  </si>
  <si>
    <t>52868苜蓿</t>
  </si>
  <si>
    <t>52868小麦</t>
  </si>
  <si>
    <t>52955车前</t>
  </si>
  <si>
    <t>52955马蔺</t>
  </si>
  <si>
    <t>52955蒲公英</t>
  </si>
  <si>
    <t>52853矮嵩草</t>
  </si>
  <si>
    <t>52853车前</t>
  </si>
  <si>
    <t>52853猪毛蒿</t>
  </si>
  <si>
    <t>52853蒲公英</t>
  </si>
  <si>
    <t>52853洽草</t>
  </si>
  <si>
    <t>52853西北针茅</t>
  </si>
  <si>
    <t>52853冷地早熟禾</t>
  </si>
  <si>
    <t>52853马蔺</t>
  </si>
  <si>
    <t>52853斜茎黄芪</t>
  </si>
  <si>
    <t>52737冰草</t>
  </si>
  <si>
    <t>52856车前</t>
  </si>
  <si>
    <t>52856蒲公英</t>
  </si>
  <si>
    <t>52943冰草</t>
  </si>
  <si>
    <t>52943车前</t>
  </si>
  <si>
    <t>52943赖草</t>
  </si>
  <si>
    <t>52943马蔺</t>
  </si>
  <si>
    <t>52943蒲公英</t>
  </si>
  <si>
    <t>52943西北针茅</t>
  </si>
  <si>
    <t>52818芦苇</t>
  </si>
  <si>
    <t>56021车前</t>
  </si>
  <si>
    <t>56021高山嵩草</t>
  </si>
  <si>
    <t>56021高山早熟禾</t>
  </si>
  <si>
    <t>56021蒲公英</t>
  </si>
  <si>
    <t>56021苔草</t>
  </si>
  <si>
    <t>56021羊茅</t>
  </si>
  <si>
    <t>56045矮嵩草</t>
  </si>
  <si>
    <t>56045车前</t>
  </si>
  <si>
    <t>56045垂穗披碱草</t>
  </si>
  <si>
    <t>56045高山龙胆</t>
  </si>
  <si>
    <t>56045蒲公英</t>
  </si>
  <si>
    <t>56045洽草</t>
  </si>
  <si>
    <t>56045羊茅</t>
  </si>
  <si>
    <t>56065车前</t>
  </si>
  <si>
    <t>56065垂穗披碱草</t>
  </si>
  <si>
    <t>56065二柱头蔗草</t>
  </si>
  <si>
    <t>56065高山嵩草</t>
  </si>
  <si>
    <t>56065星星草</t>
  </si>
  <si>
    <t>功能群</t>
  </si>
  <si>
    <t>植被类型</t>
  </si>
  <si>
    <t>slope</t>
  </si>
  <si>
    <t>contribution</t>
  </si>
  <si>
    <t>LSD slope</t>
  </si>
  <si>
    <t>other</t>
  </si>
  <si>
    <t>杂草</t>
  </si>
  <si>
    <t>农业地</t>
  </si>
  <si>
    <t>草原</t>
  </si>
  <si>
    <t>52737芦苇</t>
  </si>
  <si>
    <t>0.0310177917320776</t>
  </si>
  <si>
    <t>草甸</t>
  </si>
  <si>
    <t>GWC</t>
  </si>
  <si>
    <t>abs</t>
  </si>
  <si>
    <t>PRE</t>
  </si>
  <si>
    <t>sum</t>
  </si>
  <si>
    <t>R2</t>
  </si>
  <si>
    <t>gud</t>
  </si>
  <si>
    <t>Forb</t>
  </si>
  <si>
    <t>Grass</t>
  </si>
  <si>
    <t>Sedge</t>
  </si>
  <si>
    <t>WS</t>
  </si>
  <si>
    <t>ES</t>
  </si>
  <si>
    <t>LS</t>
  </si>
  <si>
    <t>Climate</t>
  </si>
  <si>
    <t>Climate_ES</t>
  </si>
  <si>
    <t>Climate_LS</t>
  </si>
  <si>
    <t>GWC_ES</t>
  </si>
  <si>
    <t>GWC_LS</t>
  </si>
  <si>
    <t>Other</t>
  </si>
  <si>
    <t>栽培植被</t>
  </si>
  <si>
    <t>ave R2</t>
  </si>
  <si>
    <t>PRE、GWC推迟LSD，GUD使LSD提前，总体不显著提前</t>
  </si>
  <si>
    <t>PRE、SSD推迟LSD，后期GWC使LSD提前，总体LSD不显著推迟</t>
  </si>
  <si>
    <t>TMEAN、PRE、GWC均使LSD推迟，总体LSD显著推迟</t>
  </si>
  <si>
    <t>栽培</t>
  </si>
  <si>
    <t>ES+LS</t>
  </si>
  <si>
    <t>All factors</t>
  </si>
  <si>
    <t>Others</t>
  </si>
  <si>
    <t>全部的平均</t>
  </si>
  <si>
    <t>前后期全部平均</t>
  </si>
  <si>
    <t>图S5</t>
  </si>
  <si>
    <t>ave MC</t>
  </si>
  <si>
    <t>medianMC</t>
  </si>
  <si>
    <t>原gud、Tmin</t>
  </si>
  <si>
    <t>AVE</t>
  </si>
  <si>
    <t>正</t>
  </si>
  <si>
    <t>MC每个植被类型一个箱型图</t>
  </si>
  <si>
    <t>物种 热图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</si>
</sst>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5" borderId="4">
      <alignment vertical="center"/>
    </xf>
    <xf numFmtId="0" fontId="14" fillId="6" borderId="5">
      <alignment vertical="center"/>
    </xf>
    <xf numFmtId="0" fontId="15" fillId="6" borderId="4">
      <alignment vertical="center"/>
    </xf>
    <xf numFmtId="0" fontId="16" fillId="7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3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57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 applyBorder="1" applyAlignment="1" applyProtection="1">
      <alignment horizontal="center" vertical="center"/>
    </xf>
    <xf numFmtId="0" fontId="0" fillId="0" borderId="0" xfId="0" applyFill="1" applyAlignment="1" applyProtection="1">
      <alignment vertical="center"/>
    </xf>
    <xf numFmtId="0" fontId="0" fillId="0" borderId="0" xfId="0" applyProtection="1">
      <alignment vertical="center"/>
    </xf>
    <xf numFmtId="0" fontId="0" fillId="0" borderId="0" xfId="0" applyFont="1" applyFill="1" applyAlignment="1"/>
    <xf numFmtId="0" fontId="0" fillId="2" borderId="0" xfId="0" applyFill="1">
      <alignment vertical="center"/>
    </xf>
    <xf numFmtId="0" fontId="0" fillId="0" borderId="0" xfId="0" applyNumberFormat="1" applyFont="1" applyFill="1" applyAlignment="1"/>
    <xf numFmtId="0" fontId="0" fillId="3" borderId="0" xfId="0" applyFill="1">
      <alignment vertical="center"/>
    </xf>
    <xf numFmtId="0" fontId="2" fillId="0" borderId="0" xfId="0" applyFont="1" applyFill="1" applyAlignment="1"/>
    <xf numFmtId="0" fontId="0" fillId="0" borderId="0" xfId="0" applyFill="1" applyAlignment="1"/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0" borderId="0" xfId="0" applyFont="1" applyFill="1" applyAlignment="1" applyProtection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0" fillId="2" borderId="0" xfId="0" applyFont="1" applyFill="1" applyAlignment="1">
      <alignment horizontal="center" vertical="center"/>
    </xf>
    <xf numFmtId="49" fontId="0" fillId="0" borderId="0" xfId="0" applyNumberFormat="1" applyFont="1" applyFill="1" applyAlignment="1">
      <alignment horizontal="center" vertical="center"/>
    </xf>
    <xf numFmtId="0" fontId="2" fillId="3" borderId="0" xfId="0" applyFont="1" applyFill="1">
      <alignment vertical="center"/>
    </xf>
    <xf numFmtId="0" fontId="0" fillId="0" borderId="0" xfId="0" applyNumberFormat="1">
      <alignment vertical="center"/>
    </xf>
    <xf numFmtId="0" fontId="0" fillId="0" borderId="0" xfId="0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vertical="center"/>
    </xf>
    <xf numFmtId="0" fontId="2" fillId="0" borderId="0" xfId="0" applyFont="1" applyProtection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applyProtection="1">
      <alignment vertical="center"/>
    </xf>
    <xf numFmtId="0" fontId="1" fillId="0" borderId="0" xfId="0" applyFont="1" applyFill="1" applyAlignment="1" applyProtection="1">
      <alignment vertical="center"/>
    </xf>
    <xf numFmtId="0" fontId="1" fillId="0" borderId="0" xfId="0" applyFont="1" applyFill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0" borderId="0" xfId="0" applyFont="1" applyFill="1" applyBorder="1" applyAlignment="1" applyProtection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Protection="1">
      <alignment vertical="center"/>
    </xf>
    <xf numFmtId="0" fontId="0" fillId="0" borderId="0" xfId="0" applyFont="1" applyFill="1" applyAlignment="1"/>
    <xf numFmtId="0" fontId="0" fillId="0" borderId="0" xfId="0" applyFont="1" applyFill="1" applyAlignment="1"/>
    <xf numFmtId="0" fontId="1" fillId="0" borderId="0" xfId="0" applyFont="1" applyFill="1" applyBorder="1" applyAlignment="1">
      <alignment vertical="center"/>
    </xf>
    <xf numFmtId="0" fontId="0" fillId="0" borderId="0" xfId="0" applyFill="1" applyAlignment="1"/>
    <xf numFmtId="0" fontId="2" fillId="0" borderId="0" xfId="0" applyFont="1" applyFill="1" applyAlignment="1"/>
    <xf numFmtId="0" fontId="2" fillId="0" borderId="0" xfId="0" applyFont="1" applyFill="1" applyAlignment="1">
      <alignment horizontal="center" vertical="center"/>
    </xf>
    <xf numFmtId="0" fontId="0" fillId="0" borderId="0" xfId="0" applyNumberFormat="1" applyFont="1" applyFill="1" applyAlignment="1"/>
    <xf numFmtId="0" fontId="2" fillId="0" borderId="0" xfId="0" applyFont="1" applyFill="1" applyAlignment="1">
      <alignment vertical="center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/>
    <xf numFmtId="0" fontId="0" fillId="0" borderId="0" xfId="0" applyNumberFormat="1" applyFont="1" applyFill="1" applyAlignment="1"/>
    <xf numFmtId="0" fontId="0" fillId="0" borderId="0" xfId="0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48"/>
  <sheetViews>
    <sheetView zoomScale="70" zoomScaleNormal="70" workbookViewId="0">
      <selection activeCell="E23" sqref="A1:W148"/>
    </sheetView>
  </sheetViews>
  <sheetFormatPr defaultColWidth="9" defaultRowHeight="14"/>
  <sheetData>
    <row r="1" spans="1:27">
      <c r="A1" s="30" t="s">
        <v>0</v>
      </c>
      <c r="B1" s="31" t="s">
        <v>1</v>
      </c>
      <c r="C1" s="33" t="s">
        <v>2</v>
      </c>
      <c r="D1" s="31"/>
      <c r="E1" s="34" t="s">
        <v>3</v>
      </c>
      <c r="F1" s="34" t="s">
        <v>4</v>
      </c>
      <c r="G1" s="34" t="s">
        <v>5</v>
      </c>
      <c r="H1" s="34"/>
      <c r="I1" s="34" t="s">
        <v>3</v>
      </c>
      <c r="J1" s="34" t="s">
        <v>4</v>
      </c>
      <c r="K1" s="34" t="s">
        <v>5</v>
      </c>
      <c r="L1" s="34"/>
      <c r="M1" s="34" t="s">
        <v>3</v>
      </c>
      <c r="N1" s="34" t="s">
        <v>4</v>
      </c>
      <c r="O1" s="34" t="s">
        <v>5</v>
      </c>
      <c r="P1" s="42"/>
      <c r="Q1" s="34" t="s">
        <v>3</v>
      </c>
      <c r="R1" s="34" t="s">
        <v>4</v>
      </c>
      <c r="S1" s="34" t="s">
        <v>5</v>
      </c>
      <c r="T1" s="39"/>
      <c r="U1" s="34" t="s">
        <v>3</v>
      </c>
      <c r="V1" s="34" t="s">
        <v>4</v>
      </c>
      <c r="W1" s="34" t="s">
        <v>5</v>
      </c>
      <c r="X1" s="39"/>
      <c r="Y1" s="34" t="s">
        <v>3</v>
      </c>
      <c r="Z1" s="34" t="s">
        <v>4</v>
      </c>
      <c r="AA1" s="34" t="s">
        <v>5</v>
      </c>
    </row>
    <row r="2" spans="1:27">
      <c r="A2" s="35" t="s">
        <v>6</v>
      </c>
      <c r="B2" s="29" t="s">
        <v>7</v>
      </c>
      <c r="C2" s="36" t="s">
        <v>8</v>
      </c>
      <c r="D2" s="36" t="s">
        <v>9</v>
      </c>
      <c r="E2" s="43">
        <v>-1.89554152698576</v>
      </c>
      <c r="F2" s="43">
        <v>2.25013854194929</v>
      </c>
      <c r="G2" s="36">
        <f t="shared" ref="G2:G65" si="0">E2/F2</f>
        <v>-0.842411030097576</v>
      </c>
      <c r="H2" s="36" t="s">
        <v>10</v>
      </c>
      <c r="I2" s="43">
        <v>-4.51229515812166</v>
      </c>
      <c r="J2" s="43">
        <v>34.7593013518815</v>
      </c>
      <c r="K2" s="36">
        <f t="shared" ref="K2:K65" si="1">I2/J2</f>
        <v>-0.129815473344588</v>
      </c>
      <c r="L2" s="36" t="s">
        <v>11</v>
      </c>
      <c r="M2" s="43">
        <v>-7.61732258120641</v>
      </c>
      <c r="N2" s="43">
        <v>0.606795079551255</v>
      </c>
      <c r="O2" s="36">
        <f t="shared" ref="O2:O65" si="2">M2/N2</f>
        <v>-12.5533690662747</v>
      </c>
      <c r="P2" s="39" t="s">
        <v>12</v>
      </c>
      <c r="Q2" s="43">
        <v>0.519556994339435</v>
      </c>
      <c r="R2" s="43">
        <v>0.496190832435975</v>
      </c>
      <c r="S2" s="39">
        <f t="shared" ref="S2:S65" si="3">Q2/R2</f>
        <v>1.04709107943157</v>
      </c>
      <c r="T2" s="39" t="s">
        <v>13</v>
      </c>
      <c r="U2" s="43">
        <v>-14.8105915438007</v>
      </c>
      <c r="V2" s="43">
        <v>5.99861479855017</v>
      </c>
      <c r="W2" s="39">
        <f t="shared" ref="W2:W65" si="4">U2/V2</f>
        <v>-2.46900193481007</v>
      </c>
      <c r="X2" s="39" t="s">
        <v>13</v>
      </c>
      <c r="Y2" s="51">
        <v>-10.92491027</v>
      </c>
      <c r="Z2" s="39">
        <v>5.99861479855017</v>
      </c>
      <c r="AA2" s="39">
        <f>Y2/Z2</f>
        <v>-1.8212388421141</v>
      </c>
    </row>
    <row r="3" spans="1:27">
      <c r="A3" s="35" t="s">
        <v>6</v>
      </c>
      <c r="B3" s="29" t="s">
        <v>7</v>
      </c>
      <c r="C3" s="36" t="s">
        <v>14</v>
      </c>
      <c r="D3" s="36" t="s">
        <v>9</v>
      </c>
      <c r="E3" s="43">
        <v>8.06973566870433</v>
      </c>
      <c r="F3" s="43">
        <v>2.86555121942822</v>
      </c>
      <c r="G3" s="36">
        <f t="shared" si="0"/>
        <v>2.81611984946985</v>
      </c>
      <c r="H3" s="36" t="s">
        <v>10</v>
      </c>
      <c r="I3" s="43">
        <v>-1.43236342371385</v>
      </c>
      <c r="J3" s="43">
        <v>44.4273729601925</v>
      </c>
      <c r="K3" s="36">
        <f t="shared" si="1"/>
        <v>-0.0322405609036858</v>
      </c>
      <c r="L3" s="36" t="s">
        <v>11</v>
      </c>
      <c r="M3" s="43">
        <v>-3.09821534042837</v>
      </c>
      <c r="N3" s="43">
        <v>0.506445662707807</v>
      </c>
      <c r="O3" s="36">
        <f t="shared" si="2"/>
        <v>-6.11756713220364</v>
      </c>
      <c r="P3" s="39" t="s">
        <v>12</v>
      </c>
      <c r="Q3" s="43">
        <v>-1.179800417543</v>
      </c>
      <c r="R3" s="43">
        <v>0.5677487397898</v>
      </c>
      <c r="S3" s="39">
        <f t="shared" si="3"/>
        <v>-2.07803264870267</v>
      </c>
      <c r="T3" s="39" t="s">
        <v>13</v>
      </c>
      <c r="U3" s="43">
        <v>-14.8105915438007</v>
      </c>
      <c r="V3" s="43">
        <v>5.99861479855017</v>
      </c>
      <c r="W3" s="39">
        <f t="shared" si="4"/>
        <v>-2.46900193481007</v>
      </c>
      <c r="X3" s="39" t="s">
        <v>13</v>
      </c>
      <c r="Y3" s="51">
        <v>-9.17493043</v>
      </c>
      <c r="Z3" s="39">
        <v>5.99861479855017</v>
      </c>
      <c r="AA3" s="39">
        <f>Y3/Z3</f>
        <v>-1.52950818449245</v>
      </c>
    </row>
    <row r="4" spans="1:27">
      <c r="A4" s="35" t="s">
        <v>6</v>
      </c>
      <c r="B4" s="29" t="s">
        <v>7</v>
      </c>
      <c r="C4" s="36" t="s">
        <v>15</v>
      </c>
      <c r="D4" s="36" t="s">
        <v>9</v>
      </c>
      <c r="E4" s="43">
        <v>2.60343450550386</v>
      </c>
      <c r="F4" s="43">
        <v>1.852797884778</v>
      </c>
      <c r="G4" s="36">
        <f t="shared" si="0"/>
        <v>1.40513680790163</v>
      </c>
      <c r="H4" s="36" t="s">
        <v>10</v>
      </c>
      <c r="I4" s="43">
        <v>0.316303995072863</v>
      </c>
      <c r="J4" s="43">
        <v>57.2538242199736</v>
      </c>
      <c r="K4" s="36">
        <f t="shared" si="1"/>
        <v>0.00552459157763154</v>
      </c>
      <c r="L4" s="36" t="s">
        <v>11</v>
      </c>
      <c r="M4" s="43">
        <v>-5.13156803958751</v>
      </c>
      <c r="N4" s="43">
        <v>0.459204282182561</v>
      </c>
      <c r="O4" s="36">
        <f t="shared" si="2"/>
        <v>-11.1749132982767</v>
      </c>
      <c r="P4" s="39" t="s">
        <v>12</v>
      </c>
      <c r="Q4" s="43">
        <v>-2.19704686503082</v>
      </c>
      <c r="R4" s="43">
        <v>0.386551957495288</v>
      </c>
      <c r="S4" s="39">
        <f t="shared" si="3"/>
        <v>-5.68370389136524</v>
      </c>
      <c r="T4" s="39" t="s">
        <v>13</v>
      </c>
      <c r="U4" s="43">
        <v>-10.743309503626</v>
      </c>
      <c r="V4" s="43">
        <v>5.99861479855017</v>
      </c>
      <c r="W4" s="39">
        <f t="shared" si="4"/>
        <v>-1.79096505850361</v>
      </c>
      <c r="X4" s="39" t="s">
        <v>13</v>
      </c>
      <c r="Y4" s="51">
        <v>-12.01951582</v>
      </c>
      <c r="Z4" s="39">
        <v>5.99861479855017</v>
      </c>
      <c r="AA4" s="39">
        <f>Y4/Z4</f>
        <v>-2.00371522820653</v>
      </c>
    </row>
    <row r="5" spans="1:27">
      <c r="A5" s="39" t="s">
        <v>16</v>
      </c>
      <c r="B5" s="29" t="s">
        <v>7</v>
      </c>
      <c r="C5" s="36" t="s">
        <v>8</v>
      </c>
      <c r="D5" s="36" t="s">
        <v>9</v>
      </c>
      <c r="E5" s="43">
        <v>-1.68846176321687</v>
      </c>
      <c r="F5" s="43">
        <v>2.25013854194929</v>
      </c>
      <c r="G5" s="36">
        <f t="shared" si="0"/>
        <v>-0.750381246193916</v>
      </c>
      <c r="H5" s="36" t="s">
        <v>10</v>
      </c>
      <c r="I5" s="43">
        <v>0.241532893717723</v>
      </c>
      <c r="J5" s="43">
        <v>32.1528069021936</v>
      </c>
      <c r="K5" s="36">
        <f t="shared" si="1"/>
        <v>0.0075120313586446</v>
      </c>
      <c r="L5" s="36" t="s">
        <v>11</v>
      </c>
      <c r="M5" s="43">
        <v>-3.67107149715281</v>
      </c>
      <c r="N5" s="43">
        <v>0.606795079551255</v>
      </c>
      <c r="O5" s="36">
        <f t="shared" si="2"/>
        <v>-6.04993616604091</v>
      </c>
      <c r="P5" s="39" t="s">
        <v>12</v>
      </c>
      <c r="Q5" s="43">
        <v>-1.39893895839588</v>
      </c>
      <c r="R5" s="43">
        <v>0.446607403828435</v>
      </c>
      <c r="S5" s="39">
        <f t="shared" si="3"/>
        <v>-3.13236848830496</v>
      </c>
      <c r="T5" s="39" t="s">
        <v>13</v>
      </c>
      <c r="U5" s="43">
        <v>0.984468672603732</v>
      </c>
      <c r="V5" s="43">
        <v>7.89438595711466</v>
      </c>
      <c r="W5" s="39">
        <f t="shared" si="4"/>
        <v>0.124704907759988</v>
      </c>
      <c r="X5" s="39" t="s">
        <v>13</v>
      </c>
      <c r="Y5" s="51">
        <v>2.24729227</v>
      </c>
      <c r="Z5" s="39">
        <v>7.89438595711466</v>
      </c>
      <c r="AA5" s="39">
        <f>Y5/Z5</f>
        <v>0.284669673133307</v>
      </c>
    </row>
    <row r="6" spans="1:27">
      <c r="A6" s="39" t="s">
        <v>16</v>
      </c>
      <c r="B6" s="29" t="s">
        <v>7</v>
      </c>
      <c r="C6" s="36" t="s">
        <v>14</v>
      </c>
      <c r="D6" s="36" t="s">
        <v>9</v>
      </c>
      <c r="E6" s="43">
        <v>-0.922615808904921</v>
      </c>
      <c r="F6" s="43">
        <v>2.86555121942822</v>
      </c>
      <c r="G6" s="36">
        <f t="shared" si="0"/>
        <v>-0.321968004846557</v>
      </c>
      <c r="H6" s="36" t="s">
        <v>10</v>
      </c>
      <c r="I6" s="43">
        <v>1.04605964054183</v>
      </c>
      <c r="J6" s="43">
        <v>52.5156839783308</v>
      </c>
      <c r="K6" s="36">
        <f t="shared" si="1"/>
        <v>0.0199189948849083</v>
      </c>
      <c r="L6" s="36" t="s">
        <v>11</v>
      </c>
      <c r="M6" s="43">
        <v>-3.10371153006469</v>
      </c>
      <c r="N6" s="43">
        <v>0.506445662707807</v>
      </c>
      <c r="O6" s="36">
        <f t="shared" si="2"/>
        <v>-6.12841960867058</v>
      </c>
      <c r="P6" s="39" t="s">
        <v>12</v>
      </c>
      <c r="Q6" s="43">
        <v>1.32884861169259</v>
      </c>
      <c r="R6" s="43">
        <v>0.483291304893097</v>
      </c>
      <c r="S6" s="39">
        <f t="shared" si="3"/>
        <v>2.74958104612813</v>
      </c>
      <c r="T6" s="39" t="s">
        <v>13</v>
      </c>
      <c r="U6" s="43">
        <v>0.984468672603732</v>
      </c>
      <c r="V6" s="43">
        <v>7.89438595711466</v>
      </c>
      <c r="W6" s="39">
        <f t="shared" si="4"/>
        <v>0.124704907759988</v>
      </c>
      <c r="X6" s="39" t="s">
        <v>13</v>
      </c>
      <c r="Y6" s="51">
        <v>3.26252085</v>
      </c>
      <c r="Z6" s="39">
        <v>7.89438595711466</v>
      </c>
      <c r="AA6" s="39">
        <f>Y6/Z6</f>
        <v>0.413271009008588</v>
      </c>
    </row>
    <row r="7" spans="1:27">
      <c r="A7" s="39" t="s">
        <v>16</v>
      </c>
      <c r="B7" s="29" t="s">
        <v>7</v>
      </c>
      <c r="C7" s="36" t="s">
        <v>15</v>
      </c>
      <c r="D7" s="36" t="s">
        <v>9</v>
      </c>
      <c r="E7" s="43">
        <v>-2.98001748918142</v>
      </c>
      <c r="F7" s="43">
        <v>1.852797884778</v>
      </c>
      <c r="G7" s="36">
        <f t="shared" si="0"/>
        <v>-1.60838778674366</v>
      </c>
      <c r="H7" s="36" t="s">
        <v>10</v>
      </c>
      <c r="I7" s="43">
        <v>0.857024937887025</v>
      </c>
      <c r="J7" s="43">
        <v>57.1214980560402</v>
      </c>
      <c r="K7" s="36">
        <f t="shared" si="1"/>
        <v>0.0150035444981892</v>
      </c>
      <c r="L7" s="36" t="s">
        <v>11</v>
      </c>
      <c r="M7" s="43">
        <v>-4.81065185731822</v>
      </c>
      <c r="N7" s="43">
        <v>0.459204282182561</v>
      </c>
      <c r="O7" s="36">
        <f t="shared" si="2"/>
        <v>-10.4760605333504</v>
      </c>
      <c r="P7" s="39" t="s">
        <v>12</v>
      </c>
      <c r="Q7" s="43">
        <v>-0.864012847828319</v>
      </c>
      <c r="R7" s="43">
        <v>0.355834296953</v>
      </c>
      <c r="S7" s="39">
        <f t="shared" si="3"/>
        <v>-2.42813257526562</v>
      </c>
      <c r="T7" s="39" t="s">
        <v>13</v>
      </c>
      <c r="U7" s="43">
        <v>1.89249815467275</v>
      </c>
      <c r="V7" s="43">
        <v>7.89438595711466</v>
      </c>
      <c r="W7" s="39">
        <f t="shared" si="4"/>
        <v>0.239727087699224</v>
      </c>
      <c r="X7" s="39" t="s">
        <v>13</v>
      </c>
      <c r="Y7" s="51">
        <v>2.40077489</v>
      </c>
      <c r="Z7" s="39">
        <v>7.89438595711466</v>
      </c>
      <c r="AA7" s="39">
        <f>Y7/Z7</f>
        <v>0.304111669107887</v>
      </c>
    </row>
    <row r="8" spans="1:27">
      <c r="A8" s="39" t="s">
        <v>17</v>
      </c>
      <c r="B8" s="29" t="s">
        <v>7</v>
      </c>
      <c r="C8" s="36" t="s">
        <v>8</v>
      </c>
      <c r="D8" s="36" t="s">
        <v>9</v>
      </c>
      <c r="E8" s="43">
        <v>1.85167180172141</v>
      </c>
      <c r="F8" s="43">
        <v>2.25013854194929</v>
      </c>
      <c r="G8" s="36">
        <f t="shared" si="0"/>
        <v>0.822914574903157</v>
      </c>
      <c r="H8" s="36" t="s">
        <v>10</v>
      </c>
      <c r="I8" s="43">
        <v>-1.34730700031044</v>
      </c>
      <c r="J8" s="43">
        <v>34.1115946039846</v>
      </c>
      <c r="K8" s="36">
        <f t="shared" si="1"/>
        <v>-0.0394970395242989</v>
      </c>
      <c r="L8" s="36" t="s">
        <v>11</v>
      </c>
      <c r="M8" s="43">
        <v>-1.97994918576658</v>
      </c>
      <c r="N8" s="43">
        <v>0.606795079551255</v>
      </c>
      <c r="O8" s="36">
        <f t="shared" si="2"/>
        <v>-3.26296183421727</v>
      </c>
      <c r="P8" s="39" t="s">
        <v>12</v>
      </c>
      <c r="Q8" s="43">
        <v>6.34850549391544</v>
      </c>
      <c r="R8" s="43">
        <v>0.434917823940457</v>
      </c>
      <c r="S8" s="39">
        <f t="shared" si="3"/>
        <v>14.5970230339067</v>
      </c>
      <c r="T8" s="39" t="s">
        <v>13</v>
      </c>
      <c r="U8" s="43">
        <v>-8.0378153519253</v>
      </c>
      <c r="V8" s="43">
        <v>7.1691088625893</v>
      </c>
      <c r="W8" s="39">
        <f t="shared" si="4"/>
        <v>-1.12117356647619</v>
      </c>
      <c r="X8" s="39" t="s">
        <v>13</v>
      </c>
      <c r="Y8" s="51">
        <v>-12.72078003</v>
      </c>
      <c r="Z8" s="39">
        <v>7.1691088625893</v>
      </c>
      <c r="AA8" s="39">
        <f>Y8/Z8</f>
        <v>-1.77438790145608</v>
      </c>
    </row>
    <row r="9" spans="1:27">
      <c r="A9" s="39" t="s">
        <v>17</v>
      </c>
      <c r="B9" s="29" t="s">
        <v>7</v>
      </c>
      <c r="C9" s="36" t="s">
        <v>14</v>
      </c>
      <c r="D9" s="36" t="s">
        <v>9</v>
      </c>
      <c r="E9" s="43">
        <v>8.11442058675263</v>
      </c>
      <c r="F9" s="43">
        <v>2.86555121942822</v>
      </c>
      <c r="G9" s="36">
        <f t="shared" si="0"/>
        <v>2.83171367928707</v>
      </c>
      <c r="H9" s="36" t="s">
        <v>10</v>
      </c>
      <c r="I9" s="43">
        <v>0.984350592031547</v>
      </c>
      <c r="J9" s="43">
        <v>51.8055901324854</v>
      </c>
      <c r="K9" s="36">
        <f t="shared" si="1"/>
        <v>0.0190008566549326</v>
      </c>
      <c r="L9" s="36" t="s">
        <v>11</v>
      </c>
      <c r="M9" s="43">
        <v>5.84311627275807</v>
      </c>
      <c r="N9" s="43">
        <v>0.506445662707807</v>
      </c>
      <c r="O9" s="36">
        <f t="shared" si="2"/>
        <v>11.5374988928067</v>
      </c>
      <c r="P9" s="39" t="s">
        <v>12</v>
      </c>
      <c r="Q9" s="43">
        <v>-1.55161045603102</v>
      </c>
      <c r="R9" s="43">
        <v>0.568822238689254</v>
      </c>
      <c r="S9" s="39">
        <f t="shared" si="3"/>
        <v>-2.7277598351401</v>
      </c>
      <c r="T9" s="39" t="s">
        <v>13</v>
      </c>
      <c r="U9" s="43">
        <v>-8.0378153519253</v>
      </c>
      <c r="V9" s="43">
        <v>7.1691088625893</v>
      </c>
      <c r="W9" s="39">
        <f t="shared" si="4"/>
        <v>-1.12117356647619</v>
      </c>
      <c r="X9" s="39" t="s">
        <v>13</v>
      </c>
      <c r="Y9" s="51">
        <v>-10.74612638</v>
      </c>
      <c r="Z9" s="39">
        <v>7.1691088625893</v>
      </c>
      <c r="AA9" s="39">
        <f>Y9/Z9</f>
        <v>-1.4989486958521</v>
      </c>
    </row>
    <row r="10" spans="1:27">
      <c r="A10" s="39" t="s">
        <v>17</v>
      </c>
      <c r="B10" s="29" t="s">
        <v>7</v>
      </c>
      <c r="C10" s="36" t="s">
        <v>15</v>
      </c>
      <c r="D10" s="36" t="s">
        <v>9</v>
      </c>
      <c r="E10" s="43">
        <v>7.42466958010446</v>
      </c>
      <c r="F10" s="43">
        <v>1.852797884778</v>
      </c>
      <c r="G10" s="36">
        <f t="shared" si="0"/>
        <v>4.00727442593884</v>
      </c>
      <c r="H10" s="36" t="s">
        <v>10</v>
      </c>
      <c r="I10" s="43">
        <v>2.62683453990513</v>
      </c>
      <c r="J10" s="43">
        <v>58.312135549597</v>
      </c>
      <c r="K10" s="36">
        <f t="shared" si="1"/>
        <v>0.0450478192085915</v>
      </c>
      <c r="L10" s="36" t="s">
        <v>11</v>
      </c>
      <c r="M10" s="43">
        <v>2.047852413287</v>
      </c>
      <c r="N10" s="43">
        <v>0.459204282182561</v>
      </c>
      <c r="O10" s="36">
        <f t="shared" si="2"/>
        <v>4.45956732710271</v>
      </c>
      <c r="P10" s="39" t="s">
        <v>12</v>
      </c>
      <c r="Q10" s="43">
        <v>0.432521203815684</v>
      </c>
      <c r="R10" s="43">
        <v>0.387752950383416</v>
      </c>
      <c r="S10" s="39">
        <f t="shared" si="3"/>
        <v>1.11545561004243</v>
      </c>
      <c r="T10" s="39" t="s">
        <v>13</v>
      </c>
      <c r="U10" s="43">
        <v>-8.82367238981921</v>
      </c>
      <c r="V10" s="43">
        <v>7.1691088625893</v>
      </c>
      <c r="W10" s="39">
        <f t="shared" si="4"/>
        <v>-1.2307906824883</v>
      </c>
      <c r="X10" s="39" t="s">
        <v>13</v>
      </c>
      <c r="Y10" s="51">
        <v>-11.54148072</v>
      </c>
      <c r="Z10" s="39">
        <v>7.1691088625893</v>
      </c>
      <c r="AA10" s="39">
        <f>Y10/Z10</f>
        <v>-1.60989056537098</v>
      </c>
    </row>
    <row r="11" spans="1:27">
      <c r="A11" s="39" t="s">
        <v>18</v>
      </c>
      <c r="B11" s="29" t="s">
        <v>7</v>
      </c>
      <c r="C11" s="36" t="s">
        <v>8</v>
      </c>
      <c r="D11" s="36" t="s">
        <v>9</v>
      </c>
      <c r="E11" s="43">
        <v>0.0937443996057335</v>
      </c>
      <c r="F11" s="43">
        <v>2.36564885345283</v>
      </c>
      <c r="G11" s="36">
        <f t="shared" si="0"/>
        <v>0.0396273519076625</v>
      </c>
      <c r="H11" s="36" t="s">
        <v>10</v>
      </c>
      <c r="I11" s="43">
        <v>0.266296800022992</v>
      </c>
      <c r="J11" s="43">
        <v>37.022886403508</v>
      </c>
      <c r="K11" s="36">
        <f t="shared" si="1"/>
        <v>0.00719276171826948</v>
      </c>
      <c r="L11" s="36" t="s">
        <v>11</v>
      </c>
      <c r="M11" s="43">
        <v>-1.33404487764743</v>
      </c>
      <c r="N11" s="43">
        <v>0.606795079551255</v>
      </c>
      <c r="O11" s="36">
        <f t="shared" si="2"/>
        <v>-2.19850971539519</v>
      </c>
      <c r="P11" s="39" t="s">
        <v>12</v>
      </c>
      <c r="Q11" s="43">
        <v>-0.47661716686268</v>
      </c>
      <c r="R11" s="43">
        <v>0.762397080805013</v>
      </c>
      <c r="S11" s="39">
        <f t="shared" si="3"/>
        <v>-0.625156075308449</v>
      </c>
      <c r="T11" s="39" t="s">
        <v>13</v>
      </c>
      <c r="U11" s="43">
        <v>1.17923527834042</v>
      </c>
      <c r="V11" s="43">
        <v>3.52254233448938</v>
      </c>
      <c r="W11" s="39">
        <f t="shared" si="4"/>
        <v>0.334768234520412</v>
      </c>
      <c r="X11" s="39" t="s">
        <v>13</v>
      </c>
      <c r="Y11" s="51">
        <v>0.71868572</v>
      </c>
      <c r="Z11" s="39">
        <v>3.52254233448938</v>
      </c>
      <c r="AA11" s="39">
        <f>Y11/Z11</f>
        <v>0.204024721850271</v>
      </c>
    </row>
    <row r="12" spans="1:27">
      <c r="A12" s="39" t="s">
        <v>18</v>
      </c>
      <c r="B12" s="29" t="s">
        <v>7</v>
      </c>
      <c r="C12" s="36" t="s">
        <v>14</v>
      </c>
      <c r="D12" s="36" t="s">
        <v>9</v>
      </c>
      <c r="E12" s="43">
        <v>0.313397951921127</v>
      </c>
      <c r="F12" s="43">
        <v>2.96798877561297</v>
      </c>
      <c r="G12" s="36">
        <f t="shared" si="0"/>
        <v>0.10559270119086</v>
      </c>
      <c r="H12" s="36" t="s">
        <v>10</v>
      </c>
      <c r="I12" s="43">
        <v>0.288583862145508</v>
      </c>
      <c r="J12" s="43">
        <v>40.5654266689067</v>
      </c>
      <c r="K12" s="36">
        <f t="shared" si="1"/>
        <v>0.00711403492685822</v>
      </c>
      <c r="L12" s="36" t="s">
        <v>11</v>
      </c>
      <c r="M12" s="43">
        <v>-0.657675269026846</v>
      </c>
      <c r="N12" s="43">
        <v>0.506445662707807</v>
      </c>
      <c r="O12" s="36">
        <f t="shared" si="2"/>
        <v>-1.29860973734173</v>
      </c>
      <c r="P12" s="39" t="s">
        <v>12</v>
      </c>
      <c r="Q12" s="43">
        <v>-0.0708584503815451</v>
      </c>
      <c r="R12" s="43">
        <v>0.772987808665345</v>
      </c>
      <c r="S12" s="39">
        <f t="shared" si="3"/>
        <v>-0.0916682638292713</v>
      </c>
      <c r="T12" s="39" t="s">
        <v>13</v>
      </c>
      <c r="U12" s="43">
        <v>1.17923527834042</v>
      </c>
      <c r="V12" s="43">
        <v>3.52254233448938</v>
      </c>
      <c r="W12" s="39">
        <f t="shared" si="4"/>
        <v>0.334768234520412</v>
      </c>
      <c r="X12" s="39" t="s">
        <v>13</v>
      </c>
      <c r="Y12" s="51">
        <v>0.46645673</v>
      </c>
      <c r="Z12" s="39">
        <v>3.52254233448938</v>
      </c>
      <c r="AA12" s="39">
        <f>Y12/Z12</f>
        <v>0.132420475243945</v>
      </c>
    </row>
    <row r="13" spans="1:27">
      <c r="A13" s="39" t="s">
        <v>18</v>
      </c>
      <c r="B13" s="29" t="s">
        <v>7</v>
      </c>
      <c r="C13" s="36" t="s">
        <v>15</v>
      </c>
      <c r="D13" s="36" t="s">
        <v>9</v>
      </c>
      <c r="E13" s="43">
        <v>0.262681922682551</v>
      </c>
      <c r="F13" s="43">
        <v>1.92863270267398</v>
      </c>
      <c r="G13" s="36">
        <f t="shared" si="0"/>
        <v>0.13620111404227</v>
      </c>
      <c r="H13" s="36" t="s">
        <v>10</v>
      </c>
      <c r="I13" s="43">
        <v>0.376313558163229</v>
      </c>
      <c r="J13" s="43">
        <v>46.4455412768359</v>
      </c>
      <c r="K13" s="36">
        <f t="shared" si="1"/>
        <v>0.00810225368933122</v>
      </c>
      <c r="L13" s="36" t="s">
        <v>11</v>
      </c>
      <c r="M13" s="43">
        <v>-1.45917505954186</v>
      </c>
      <c r="N13" s="43">
        <v>0.459204282182561</v>
      </c>
      <c r="O13" s="36">
        <f t="shared" si="2"/>
        <v>-3.17761640332821</v>
      </c>
      <c r="P13" s="39" t="s">
        <v>12</v>
      </c>
      <c r="Q13" s="43">
        <v>-0.472704294113555</v>
      </c>
      <c r="R13" s="43">
        <v>0.514845372944497</v>
      </c>
      <c r="S13" s="39">
        <f t="shared" si="3"/>
        <v>-0.918148086696537</v>
      </c>
      <c r="T13" s="39" t="s">
        <v>13</v>
      </c>
      <c r="U13" s="43">
        <v>1.26104263399506</v>
      </c>
      <c r="V13" s="43">
        <v>3.52254233448938</v>
      </c>
      <c r="W13" s="39">
        <f t="shared" si="4"/>
        <v>0.357992186963413</v>
      </c>
      <c r="X13" s="39" t="s">
        <v>13</v>
      </c>
      <c r="Y13" s="51">
        <v>0.96198504</v>
      </c>
      <c r="Z13" s="39">
        <v>3.52254233448938</v>
      </c>
      <c r="AA13" s="39">
        <f>Y13/Z13</f>
        <v>0.273093961307763</v>
      </c>
    </row>
    <row r="14" spans="1:27">
      <c r="A14" s="35" t="s">
        <v>19</v>
      </c>
      <c r="B14" s="29" t="s">
        <v>7</v>
      </c>
      <c r="C14" s="36" t="s">
        <v>8</v>
      </c>
      <c r="D14" s="36" t="s">
        <v>9</v>
      </c>
      <c r="E14" s="43">
        <v>-8.23706507244185</v>
      </c>
      <c r="F14" s="43">
        <v>1.1429484568356</v>
      </c>
      <c r="G14" s="36">
        <f t="shared" si="0"/>
        <v>-7.20685611252079</v>
      </c>
      <c r="H14" s="36" t="s">
        <v>10</v>
      </c>
      <c r="I14" s="43">
        <v>14.340883336623</v>
      </c>
      <c r="J14" s="43">
        <v>19.4289056959781</v>
      </c>
      <c r="K14" s="36">
        <f t="shared" si="1"/>
        <v>0.738121001822128</v>
      </c>
      <c r="L14" s="36" t="s">
        <v>11</v>
      </c>
      <c r="M14" s="43">
        <v>8.59837709001307</v>
      </c>
      <c r="N14" s="43">
        <v>0.543479061014118</v>
      </c>
      <c r="O14" s="36">
        <f t="shared" si="2"/>
        <v>15.8209905529179</v>
      </c>
      <c r="P14" s="39" t="s">
        <v>12</v>
      </c>
      <c r="Q14" s="43">
        <v>2.35138595811138</v>
      </c>
      <c r="R14" s="43">
        <v>0.465890489126535</v>
      </c>
      <c r="S14" s="39">
        <f t="shared" si="3"/>
        <v>5.04707868692453</v>
      </c>
      <c r="T14" s="39" t="s">
        <v>13</v>
      </c>
      <c r="U14" s="43">
        <v>1.28628689881171</v>
      </c>
      <c r="V14" s="43">
        <v>6.31771954481311</v>
      </c>
      <c r="W14" s="39">
        <f t="shared" si="4"/>
        <v>0.20359987329095</v>
      </c>
      <c r="X14" s="39" t="s">
        <v>13</v>
      </c>
      <c r="Y14" s="51">
        <v>-1.28647111</v>
      </c>
      <c r="Z14" s="39">
        <v>6.31771954481311</v>
      </c>
      <c r="AA14" s="39">
        <f>Y14/Z14</f>
        <v>-0.203629031151945</v>
      </c>
    </row>
    <row r="15" spans="1:27">
      <c r="A15" s="35" t="s">
        <v>19</v>
      </c>
      <c r="B15" s="29" t="s">
        <v>7</v>
      </c>
      <c r="C15" s="36" t="s">
        <v>14</v>
      </c>
      <c r="D15" s="36" t="s">
        <v>9</v>
      </c>
      <c r="E15" s="43">
        <v>5.03787083782106</v>
      </c>
      <c r="F15" s="43">
        <v>2.89968957409206</v>
      </c>
      <c r="G15" s="36">
        <f t="shared" si="0"/>
        <v>1.7373828160204</v>
      </c>
      <c r="H15" s="36" t="s">
        <v>10</v>
      </c>
      <c r="I15" s="43">
        <v>-2.35969179777301</v>
      </c>
      <c r="J15" s="43">
        <v>15.6527952775215</v>
      </c>
      <c r="K15" s="36">
        <f t="shared" si="1"/>
        <v>-0.150752102479849</v>
      </c>
      <c r="L15" s="36" t="s">
        <v>11</v>
      </c>
      <c r="M15" s="43">
        <v>-6.42452818439561</v>
      </c>
      <c r="N15" s="43">
        <v>0.627118661788582</v>
      </c>
      <c r="O15" s="36">
        <f t="shared" si="2"/>
        <v>-10.2445176261737</v>
      </c>
      <c r="P15" s="39" t="s">
        <v>12</v>
      </c>
      <c r="Q15" s="43">
        <v>9.88155433006864</v>
      </c>
      <c r="R15" s="43">
        <v>0.69378028249259</v>
      </c>
      <c r="S15" s="39">
        <f t="shared" si="3"/>
        <v>14.2430602013746</v>
      </c>
      <c r="T15" s="39" t="s">
        <v>13</v>
      </c>
      <c r="U15" s="43">
        <v>1.28628689881171</v>
      </c>
      <c r="V15" s="43">
        <v>6.31771954481311</v>
      </c>
      <c r="W15" s="39">
        <f t="shared" si="4"/>
        <v>0.20359987329095</v>
      </c>
      <c r="X15" s="39" t="s">
        <v>13</v>
      </c>
      <c r="Y15" s="51">
        <v>-0.73425397</v>
      </c>
      <c r="Z15" s="39">
        <v>6.31771954481311</v>
      </c>
      <c r="AA15" s="39">
        <f>Y15/Z15</f>
        <v>-0.116221361963246</v>
      </c>
    </row>
    <row r="16" spans="1:27">
      <c r="A16" s="35" t="s">
        <v>19</v>
      </c>
      <c r="B16" s="29" t="s">
        <v>7</v>
      </c>
      <c r="C16" s="36" t="s">
        <v>15</v>
      </c>
      <c r="D16" s="36" t="s">
        <v>9</v>
      </c>
      <c r="E16" s="43">
        <v>-2.24275501497207</v>
      </c>
      <c r="F16" s="43">
        <v>1.4123380078281</v>
      </c>
      <c r="G16" s="36">
        <f t="shared" si="0"/>
        <v>-1.58797327731836</v>
      </c>
      <c r="H16" s="36" t="s">
        <v>10</v>
      </c>
      <c r="I16" s="43">
        <v>4.17889449391254</v>
      </c>
      <c r="J16" s="43">
        <v>26.6643795315486</v>
      </c>
      <c r="K16" s="36">
        <f t="shared" si="1"/>
        <v>0.156721985185074</v>
      </c>
      <c r="L16" s="36" t="s">
        <v>11</v>
      </c>
      <c r="M16" s="43">
        <v>2.22029697830306</v>
      </c>
      <c r="N16" s="43">
        <v>0.35453287891285</v>
      </c>
      <c r="O16" s="36">
        <f t="shared" si="2"/>
        <v>6.26259822533652</v>
      </c>
      <c r="P16" s="39" t="s">
        <v>12</v>
      </c>
      <c r="Q16" s="43">
        <v>4.29791531891338</v>
      </c>
      <c r="R16" s="43">
        <v>0.462682911881737</v>
      </c>
      <c r="S16" s="39">
        <f t="shared" si="3"/>
        <v>9.28911617123206</v>
      </c>
      <c r="T16" s="39" t="s">
        <v>13</v>
      </c>
      <c r="U16" s="43">
        <v>0.875034407972874</v>
      </c>
      <c r="V16" s="43">
        <v>6.31771954481311</v>
      </c>
      <c r="W16" s="39">
        <f t="shared" si="4"/>
        <v>0.138504788280968</v>
      </c>
      <c r="X16" s="39" t="s">
        <v>13</v>
      </c>
      <c r="Y16" s="51">
        <v>0.20591197</v>
      </c>
      <c r="Z16" s="39">
        <v>6.31771954481311</v>
      </c>
      <c r="AA16" s="39">
        <f>Y16/Z16</f>
        <v>0.032592768409458</v>
      </c>
    </row>
    <row r="17" spans="1:27">
      <c r="A17" s="37" t="s">
        <v>20</v>
      </c>
      <c r="B17" s="52"/>
      <c r="C17" s="38" t="s">
        <v>8</v>
      </c>
      <c r="D17" s="38" t="s">
        <v>9</v>
      </c>
      <c r="E17" s="43">
        <v>-0.606490542071736</v>
      </c>
      <c r="F17" s="43">
        <v>1.1808053523255</v>
      </c>
      <c r="G17" s="36">
        <f t="shared" si="0"/>
        <v>-0.513624485930134</v>
      </c>
      <c r="H17" s="36" t="s">
        <v>10</v>
      </c>
      <c r="I17" s="43">
        <v>7.65640325750006</v>
      </c>
      <c r="J17" s="43">
        <v>20.5948415871548</v>
      </c>
      <c r="K17" s="36">
        <f t="shared" si="1"/>
        <v>0.371763153656663</v>
      </c>
      <c r="L17" s="36" t="s">
        <v>11</v>
      </c>
      <c r="M17" s="43">
        <v>4.71100570266221</v>
      </c>
      <c r="N17" s="43">
        <v>0.543479061014118</v>
      </c>
      <c r="O17" s="36">
        <f t="shared" si="2"/>
        <v>8.66823773094697</v>
      </c>
      <c r="P17" s="39" t="s">
        <v>12</v>
      </c>
      <c r="Q17" s="43">
        <v>-2.81417885193169</v>
      </c>
      <c r="R17" s="43">
        <v>0.629434516638836</v>
      </c>
      <c r="S17" s="39">
        <f t="shared" si="3"/>
        <v>-4.47096366268461</v>
      </c>
      <c r="T17" s="39" t="s">
        <v>13</v>
      </c>
      <c r="U17" s="43">
        <v>2.71997330510652</v>
      </c>
      <c r="V17" s="43">
        <v>4.41189797592827</v>
      </c>
      <c r="W17" s="39">
        <f t="shared" si="4"/>
        <v>0.616508659073022</v>
      </c>
      <c r="X17" s="39" t="s">
        <v>13</v>
      </c>
      <c r="Y17" s="51">
        <v>1.28765909</v>
      </c>
      <c r="Z17" s="39">
        <v>4.41189797592827</v>
      </c>
      <c r="AA17" s="39">
        <f>Y17/Z17</f>
        <v>0.291860577244893</v>
      </c>
    </row>
    <row r="18" spans="1:27">
      <c r="A18" s="37" t="s">
        <v>20</v>
      </c>
      <c r="B18" s="52"/>
      <c r="C18" s="38" t="s">
        <v>14</v>
      </c>
      <c r="D18" s="38" t="s">
        <v>9</v>
      </c>
      <c r="E18" s="43">
        <v>-1.53435172748796</v>
      </c>
      <c r="F18" s="43">
        <v>2.93592828156164</v>
      </c>
      <c r="G18" s="36">
        <f t="shared" si="0"/>
        <v>-0.522612128206288</v>
      </c>
      <c r="H18" s="36" t="s">
        <v>10</v>
      </c>
      <c r="I18" s="43">
        <v>-0.802013330364248</v>
      </c>
      <c r="J18" s="43">
        <v>13.5814081905191</v>
      </c>
      <c r="K18" s="36">
        <f t="shared" si="1"/>
        <v>-0.0590522955435591</v>
      </c>
      <c r="L18" s="36" t="s">
        <v>11</v>
      </c>
      <c r="M18" s="43">
        <v>-4.97891171309782</v>
      </c>
      <c r="N18" s="43">
        <v>0.627118661788582</v>
      </c>
      <c r="O18" s="36">
        <f t="shared" si="2"/>
        <v>-7.93934548032369</v>
      </c>
      <c r="P18" s="39" t="s">
        <v>12</v>
      </c>
      <c r="Q18" s="43">
        <v>8.44727225942465</v>
      </c>
      <c r="R18" s="43">
        <v>0.649246269574834</v>
      </c>
      <c r="S18" s="39">
        <f t="shared" si="3"/>
        <v>13.0108907132519</v>
      </c>
      <c r="T18" s="39" t="s">
        <v>13</v>
      </c>
      <c r="U18" s="43">
        <v>2.71997330510652</v>
      </c>
      <c r="V18" s="43">
        <v>4.41189797592827</v>
      </c>
      <c r="W18" s="39">
        <f t="shared" si="4"/>
        <v>0.616508659073022</v>
      </c>
      <c r="X18" s="39" t="s">
        <v>13</v>
      </c>
      <c r="Y18" s="51">
        <v>2.20935448</v>
      </c>
      <c r="Z18" s="39">
        <v>4.41189797592827</v>
      </c>
      <c r="AA18" s="39">
        <f>Y18/Z18</f>
        <v>0.500771888211025</v>
      </c>
    </row>
    <row r="19" spans="1:27">
      <c r="A19" s="37" t="s">
        <v>20</v>
      </c>
      <c r="B19" s="52"/>
      <c r="C19" s="38" t="s">
        <v>15</v>
      </c>
      <c r="D19" s="38" t="s">
        <v>9</v>
      </c>
      <c r="E19" s="43">
        <v>1.16943225108349</v>
      </c>
      <c r="F19" s="43">
        <v>1.40015718863036</v>
      </c>
      <c r="G19" s="36">
        <f t="shared" si="0"/>
        <v>0.835214974846813</v>
      </c>
      <c r="H19" s="36" t="s">
        <v>10</v>
      </c>
      <c r="I19" s="43">
        <v>0.805982376068996</v>
      </c>
      <c r="J19" s="43">
        <v>25.3496055196131</v>
      </c>
      <c r="K19" s="36">
        <f t="shared" si="1"/>
        <v>0.0317946713389841</v>
      </c>
      <c r="L19" s="36" t="s">
        <v>11</v>
      </c>
      <c r="M19" s="43">
        <v>-2.28540517524547</v>
      </c>
      <c r="N19" s="43">
        <v>0.35453287891285</v>
      </c>
      <c r="O19" s="36">
        <f t="shared" si="2"/>
        <v>-6.44624324337281</v>
      </c>
      <c r="P19" s="39" t="s">
        <v>12</v>
      </c>
      <c r="Q19" s="43">
        <v>1.5104508116174</v>
      </c>
      <c r="R19" s="43">
        <v>0.519565084985208</v>
      </c>
      <c r="S19" s="39">
        <f t="shared" si="3"/>
        <v>2.90714456238029</v>
      </c>
      <c r="T19" s="39" t="s">
        <v>13</v>
      </c>
      <c r="U19" s="43">
        <v>1.13104919593737</v>
      </c>
      <c r="V19" s="43">
        <v>4.41189797592827</v>
      </c>
      <c r="W19" s="39">
        <f t="shared" si="4"/>
        <v>0.256363406884856</v>
      </c>
      <c r="X19" s="39" t="s">
        <v>13</v>
      </c>
      <c r="Y19" s="51">
        <v>1.54599294</v>
      </c>
      <c r="Z19" s="39">
        <v>4.41189797592827</v>
      </c>
      <c r="AA19" s="39">
        <f>Y19/Z19</f>
        <v>0.350414481122429</v>
      </c>
    </row>
    <row r="20" spans="1:27">
      <c r="A20" s="35" t="s">
        <v>21</v>
      </c>
      <c r="B20" s="36"/>
      <c r="C20" s="36" t="s">
        <v>8</v>
      </c>
      <c r="D20" s="36" t="s">
        <v>9</v>
      </c>
      <c r="E20" s="43">
        <v>0.977492472997128</v>
      </c>
      <c r="F20" s="43">
        <v>12.2882535608356</v>
      </c>
      <c r="G20" s="36">
        <f t="shared" si="0"/>
        <v>0.0795468996597315</v>
      </c>
      <c r="H20" s="36" t="s">
        <v>10</v>
      </c>
      <c r="I20" s="43">
        <v>1.2614215576646</v>
      </c>
      <c r="J20" s="43">
        <v>29.7486190000472</v>
      </c>
      <c r="K20" s="36">
        <f t="shared" si="1"/>
        <v>0.0424026929674483</v>
      </c>
      <c r="L20" s="36" t="s">
        <v>11</v>
      </c>
      <c r="M20" s="43">
        <v>0.150847941561318</v>
      </c>
      <c r="N20" s="43">
        <v>0.530884163796686</v>
      </c>
      <c r="O20" s="36">
        <f t="shared" si="2"/>
        <v>0.284144737869952</v>
      </c>
      <c r="P20" s="39" t="s">
        <v>12</v>
      </c>
      <c r="Q20" s="43">
        <v>-1.7619225868816</v>
      </c>
      <c r="R20" s="43">
        <v>0.397152093987178</v>
      </c>
      <c r="S20" s="39">
        <f t="shared" si="3"/>
        <v>-4.43639253967646</v>
      </c>
      <c r="T20" s="39" t="s">
        <v>13</v>
      </c>
      <c r="U20" s="43">
        <v>1.99299862312461</v>
      </c>
      <c r="V20" s="43">
        <v>6.29426155572327</v>
      </c>
      <c r="W20" s="39">
        <f t="shared" si="4"/>
        <v>0.316637401461719</v>
      </c>
      <c r="X20" s="39" t="s">
        <v>13</v>
      </c>
      <c r="Y20" s="51">
        <v>2.89108542</v>
      </c>
      <c r="Z20" s="39">
        <v>6.46673901207497</v>
      </c>
      <c r="AA20" s="39">
        <f>Y20/Z20</f>
        <v>0.447070063381504</v>
      </c>
    </row>
    <row r="21" spans="1:27">
      <c r="A21" s="35" t="s">
        <v>21</v>
      </c>
      <c r="B21" s="36"/>
      <c r="C21" s="36" t="s">
        <v>14</v>
      </c>
      <c r="D21" s="36" t="s">
        <v>9</v>
      </c>
      <c r="E21" s="43">
        <v>-2.1848577846182</v>
      </c>
      <c r="F21" s="43">
        <v>18.753384306077</v>
      </c>
      <c r="G21" s="36">
        <f t="shared" si="0"/>
        <v>-0.116504719839299</v>
      </c>
      <c r="H21" s="36" t="s">
        <v>10</v>
      </c>
      <c r="I21" s="43">
        <v>-0.731609289911226</v>
      </c>
      <c r="J21" s="43">
        <v>39.5026560346898</v>
      </c>
      <c r="K21" s="36">
        <f t="shared" si="1"/>
        <v>-0.0185205088303114</v>
      </c>
      <c r="L21" s="36" t="s">
        <v>11</v>
      </c>
      <c r="M21" s="43">
        <v>1.80691892424651</v>
      </c>
      <c r="N21" s="43">
        <v>0.574137623025266</v>
      </c>
      <c r="O21" s="36">
        <f t="shared" si="2"/>
        <v>3.14718780268297</v>
      </c>
      <c r="P21" s="39" t="s">
        <v>12</v>
      </c>
      <c r="Q21" s="43">
        <v>1.14563359939187</v>
      </c>
      <c r="R21" s="43">
        <v>0.45922969520529</v>
      </c>
      <c r="S21" s="39">
        <f t="shared" si="3"/>
        <v>2.49468536410681</v>
      </c>
      <c r="T21" s="39" t="s">
        <v>13</v>
      </c>
      <c r="U21" s="43">
        <v>1.99299862312461</v>
      </c>
      <c r="V21" s="43">
        <v>6.29426155572327</v>
      </c>
      <c r="W21" s="39">
        <f t="shared" si="4"/>
        <v>0.316637401461719</v>
      </c>
      <c r="X21" s="39" t="s">
        <v>13</v>
      </c>
      <c r="Y21" s="51">
        <v>3.35921199</v>
      </c>
      <c r="Z21" s="39">
        <v>6.46673901207497</v>
      </c>
      <c r="AA21" s="39">
        <f>Y21/Z21</f>
        <v>0.519459960225322</v>
      </c>
    </row>
    <row r="22" spans="1:27">
      <c r="A22" s="35" t="s">
        <v>21</v>
      </c>
      <c r="B22" s="36"/>
      <c r="C22" s="36" t="s">
        <v>15</v>
      </c>
      <c r="D22" s="36" t="s">
        <v>9</v>
      </c>
      <c r="E22" s="43">
        <v>2.94385065010053</v>
      </c>
      <c r="F22" s="43">
        <v>12.9439154423545</v>
      </c>
      <c r="G22" s="36">
        <f t="shared" si="0"/>
        <v>0.227431233092561</v>
      </c>
      <c r="H22" s="36" t="s">
        <v>10</v>
      </c>
      <c r="I22" s="43">
        <v>-3.8065007180002</v>
      </c>
      <c r="J22" s="43">
        <v>53.5477853749299</v>
      </c>
      <c r="K22" s="36">
        <f t="shared" si="1"/>
        <v>-0.0710860531644383</v>
      </c>
      <c r="L22" s="36" t="s">
        <v>11</v>
      </c>
      <c r="M22" s="43">
        <v>1.87210780424542</v>
      </c>
      <c r="N22" s="43">
        <v>0.463589753178854</v>
      </c>
      <c r="O22" s="36">
        <f t="shared" si="2"/>
        <v>4.03828555615887</v>
      </c>
      <c r="P22" s="39" t="s">
        <v>12</v>
      </c>
      <c r="Q22" s="43">
        <v>-1.99980753943232</v>
      </c>
      <c r="R22" s="43">
        <v>0.301310051388057</v>
      </c>
      <c r="S22" s="39">
        <f t="shared" si="3"/>
        <v>-6.63704224342908</v>
      </c>
      <c r="T22" s="39" t="s">
        <v>13</v>
      </c>
      <c r="U22" s="43">
        <v>2.58692438084139</v>
      </c>
      <c r="V22" s="43">
        <v>6.29426155572327</v>
      </c>
      <c r="W22" s="39">
        <f t="shared" si="4"/>
        <v>0.41099728029083</v>
      </c>
      <c r="X22" s="39" t="s">
        <v>13</v>
      </c>
      <c r="Y22" s="51">
        <v>2.08731561</v>
      </c>
      <c r="Z22" s="39">
        <v>6.46673901207497</v>
      </c>
      <c r="AA22" s="39">
        <f>Y22/Z22</f>
        <v>0.322777153384801</v>
      </c>
    </row>
    <row r="23" spans="1:27">
      <c r="A23" s="35" t="s">
        <v>22</v>
      </c>
      <c r="B23" s="36"/>
      <c r="C23" s="36" t="s">
        <v>8</v>
      </c>
      <c r="D23" s="36" t="s">
        <v>9</v>
      </c>
      <c r="E23" s="43">
        <v>0.977492472997128</v>
      </c>
      <c r="F23" s="43">
        <v>12.2882535608356</v>
      </c>
      <c r="G23" s="36">
        <f t="shared" si="0"/>
        <v>0.0795468996597315</v>
      </c>
      <c r="H23" s="36" t="s">
        <v>10</v>
      </c>
      <c r="I23" s="43">
        <v>1.2614215576646</v>
      </c>
      <c r="J23" s="43">
        <v>29.7486190000472</v>
      </c>
      <c r="K23" s="36">
        <f t="shared" si="1"/>
        <v>0.0424026929674483</v>
      </c>
      <c r="L23" s="36" t="s">
        <v>11</v>
      </c>
      <c r="M23" s="43">
        <v>0.150847941561318</v>
      </c>
      <c r="N23" s="43">
        <v>0.530884163796686</v>
      </c>
      <c r="O23" s="36">
        <f t="shared" si="2"/>
        <v>0.284144737869952</v>
      </c>
      <c r="P23" s="39" t="s">
        <v>12</v>
      </c>
      <c r="Q23" s="43">
        <v>-1.7619225868816</v>
      </c>
      <c r="R23" s="43">
        <v>0.397152093987178</v>
      </c>
      <c r="S23" s="39">
        <f t="shared" si="3"/>
        <v>-4.43639253967646</v>
      </c>
      <c r="T23" s="39" t="s">
        <v>13</v>
      </c>
      <c r="U23" s="43">
        <v>1.99299862312461</v>
      </c>
      <c r="V23" s="43">
        <v>6.29426155572327</v>
      </c>
      <c r="W23" s="39">
        <f t="shared" si="4"/>
        <v>0.316637401461719</v>
      </c>
      <c r="X23" s="39" t="s">
        <v>13</v>
      </c>
      <c r="Y23" s="51">
        <v>1.42992087</v>
      </c>
      <c r="Z23" s="39">
        <v>5.98194163553893</v>
      </c>
      <c r="AA23" s="39">
        <f>Y23/Z23</f>
        <v>0.239039589003141</v>
      </c>
    </row>
    <row r="24" spans="1:27">
      <c r="A24" s="35" t="s">
        <v>22</v>
      </c>
      <c r="B24" s="36"/>
      <c r="C24" s="36" t="s">
        <v>14</v>
      </c>
      <c r="D24" s="36" t="s">
        <v>9</v>
      </c>
      <c r="E24" s="43">
        <v>-2.1848577846182</v>
      </c>
      <c r="F24" s="43">
        <v>18.753384306077</v>
      </c>
      <c r="G24" s="36">
        <f t="shared" si="0"/>
        <v>-0.116504719839299</v>
      </c>
      <c r="H24" s="36" t="s">
        <v>10</v>
      </c>
      <c r="I24" s="43">
        <v>-0.731609289911226</v>
      </c>
      <c r="J24" s="43">
        <v>39.5026560346898</v>
      </c>
      <c r="K24" s="36">
        <f t="shared" si="1"/>
        <v>-0.0185205088303114</v>
      </c>
      <c r="L24" s="36" t="s">
        <v>11</v>
      </c>
      <c r="M24" s="43">
        <v>1.80691892424651</v>
      </c>
      <c r="N24" s="43">
        <v>0.574137623025266</v>
      </c>
      <c r="O24" s="36">
        <f t="shared" si="2"/>
        <v>3.14718780268297</v>
      </c>
      <c r="P24" s="39" t="s">
        <v>12</v>
      </c>
      <c r="Q24" s="43">
        <v>1.14563359939187</v>
      </c>
      <c r="R24" s="43">
        <v>0.45922969520529</v>
      </c>
      <c r="S24" s="39">
        <f t="shared" si="3"/>
        <v>2.49468536410681</v>
      </c>
      <c r="T24" s="39" t="s">
        <v>13</v>
      </c>
      <c r="U24" s="43">
        <v>1.99299862312461</v>
      </c>
      <c r="V24" s="43">
        <v>6.29426155572327</v>
      </c>
      <c r="W24" s="39">
        <f t="shared" si="4"/>
        <v>0.316637401461719</v>
      </c>
      <c r="X24" s="39" t="s">
        <v>13</v>
      </c>
      <c r="Y24" s="51">
        <v>1.66412627</v>
      </c>
      <c r="Z24" s="39">
        <v>5.98194163553893</v>
      </c>
      <c r="AA24" s="39">
        <f>Y24/Z24</f>
        <v>0.2781916593959</v>
      </c>
    </row>
    <row r="25" spans="1:27">
      <c r="A25" s="35" t="s">
        <v>22</v>
      </c>
      <c r="B25" s="36"/>
      <c r="C25" s="36" t="s">
        <v>15</v>
      </c>
      <c r="D25" s="36" t="s">
        <v>9</v>
      </c>
      <c r="E25" s="43">
        <v>2.94385065010053</v>
      </c>
      <c r="F25" s="43">
        <v>12.9439154423545</v>
      </c>
      <c r="G25" s="36">
        <f t="shared" si="0"/>
        <v>0.227431233092561</v>
      </c>
      <c r="H25" s="36" t="s">
        <v>10</v>
      </c>
      <c r="I25" s="43">
        <v>-3.8065007180002</v>
      </c>
      <c r="J25" s="43">
        <v>53.5477853749299</v>
      </c>
      <c r="K25" s="36">
        <f t="shared" si="1"/>
        <v>-0.0710860531644383</v>
      </c>
      <c r="L25" s="36" t="s">
        <v>11</v>
      </c>
      <c r="M25" s="43">
        <v>1.87210780424542</v>
      </c>
      <c r="N25" s="43">
        <v>0.463589753178854</v>
      </c>
      <c r="O25" s="36">
        <f t="shared" si="2"/>
        <v>4.03828555615887</v>
      </c>
      <c r="P25" s="39" t="s">
        <v>12</v>
      </c>
      <c r="Q25" s="43">
        <v>-1.99980753943232</v>
      </c>
      <c r="R25" s="43">
        <v>0.301310051388057</v>
      </c>
      <c r="S25" s="39">
        <f t="shared" si="3"/>
        <v>-6.63704224342908</v>
      </c>
      <c r="T25" s="39" t="s">
        <v>13</v>
      </c>
      <c r="U25" s="43">
        <v>2.58692438084139</v>
      </c>
      <c r="V25" s="43">
        <v>6.29426155572327</v>
      </c>
      <c r="W25" s="39">
        <f t="shared" si="4"/>
        <v>0.41099728029083</v>
      </c>
      <c r="X25" s="39" t="s">
        <v>13</v>
      </c>
      <c r="Y25" s="51">
        <v>1.16332764</v>
      </c>
      <c r="Z25" s="39">
        <v>5.98194163553893</v>
      </c>
      <c r="AA25" s="39">
        <f>Y25/Z25</f>
        <v>0.194473251475512</v>
      </c>
    </row>
    <row r="26" spans="1:27">
      <c r="A26" s="37" t="s">
        <v>23</v>
      </c>
      <c r="B26" s="36"/>
      <c r="C26" s="36" t="s">
        <v>8</v>
      </c>
      <c r="D26" s="36" t="s">
        <v>9</v>
      </c>
      <c r="E26" s="43">
        <v>2.78407636838837</v>
      </c>
      <c r="F26" s="43">
        <v>12.2882535608356</v>
      </c>
      <c r="G26" s="36">
        <f t="shared" si="0"/>
        <v>0.226564039764089</v>
      </c>
      <c r="H26" s="36" t="s">
        <v>10</v>
      </c>
      <c r="I26" s="43">
        <v>1.15527458586253</v>
      </c>
      <c r="J26" s="43">
        <v>29.7486190000472</v>
      </c>
      <c r="K26" s="36">
        <f t="shared" si="1"/>
        <v>0.0388345618954849</v>
      </c>
      <c r="L26" s="36" t="s">
        <v>11</v>
      </c>
      <c r="M26" s="43">
        <v>-6.66585806998655</v>
      </c>
      <c r="N26" s="43">
        <v>0.530884163796686</v>
      </c>
      <c r="O26" s="36">
        <f t="shared" si="2"/>
        <v>-12.5561441168537</v>
      </c>
      <c r="P26" s="39" t="s">
        <v>12</v>
      </c>
      <c r="Q26" s="43">
        <v>2.28216384179729</v>
      </c>
      <c r="R26" s="43">
        <v>0.397152093987178</v>
      </c>
      <c r="S26" s="39">
        <f t="shared" si="3"/>
        <v>5.74632206741171</v>
      </c>
      <c r="T26" s="39" t="s">
        <v>13</v>
      </c>
      <c r="U26" s="43">
        <v>4.53676117703726</v>
      </c>
      <c r="V26" s="43">
        <v>6.29426155572327</v>
      </c>
      <c r="W26" s="39">
        <f t="shared" si="4"/>
        <v>0.720777352017101</v>
      </c>
      <c r="X26" s="39" t="s">
        <v>13</v>
      </c>
      <c r="Y26" s="51">
        <v>6.27935184</v>
      </c>
      <c r="Z26" s="39">
        <v>10.1601215630247</v>
      </c>
      <c r="AA26" s="39">
        <f>Y26/Z26</f>
        <v>0.618039046191355</v>
      </c>
    </row>
    <row r="27" spans="1:27">
      <c r="A27" s="37" t="s">
        <v>23</v>
      </c>
      <c r="B27" s="36"/>
      <c r="C27" s="36" t="s">
        <v>14</v>
      </c>
      <c r="D27" s="36" t="s">
        <v>9</v>
      </c>
      <c r="E27" s="43">
        <v>-4.87929162306003</v>
      </c>
      <c r="F27" s="43">
        <v>18.753384306077</v>
      </c>
      <c r="G27" s="36">
        <f t="shared" si="0"/>
        <v>-0.260181924682197</v>
      </c>
      <c r="H27" s="36" t="s">
        <v>10</v>
      </c>
      <c r="I27" s="43">
        <v>1.87946228505974</v>
      </c>
      <c r="J27" s="43">
        <v>39.5026560346898</v>
      </c>
      <c r="K27" s="36">
        <f t="shared" si="1"/>
        <v>0.0475781244534359</v>
      </c>
      <c r="L27" s="36" t="s">
        <v>11</v>
      </c>
      <c r="M27" s="43">
        <v>-2.58649935685894</v>
      </c>
      <c r="N27" s="43">
        <v>0.574137623025266</v>
      </c>
      <c r="O27" s="36">
        <f t="shared" si="2"/>
        <v>-4.50501631164679</v>
      </c>
      <c r="P27" s="39" t="s">
        <v>12</v>
      </c>
      <c r="Q27" s="43">
        <v>1.5940699736264</v>
      </c>
      <c r="R27" s="43">
        <v>0.45922969520529</v>
      </c>
      <c r="S27" s="39">
        <f t="shared" si="3"/>
        <v>3.47118226514904</v>
      </c>
      <c r="T27" s="39" t="s">
        <v>13</v>
      </c>
      <c r="U27" s="43">
        <v>4.53676117703726</v>
      </c>
      <c r="V27" s="43">
        <v>6.29426155572327</v>
      </c>
      <c r="W27" s="39">
        <f t="shared" si="4"/>
        <v>0.720777352017101</v>
      </c>
      <c r="X27" s="39" t="s">
        <v>13</v>
      </c>
      <c r="Y27" s="51">
        <v>5.1513677</v>
      </c>
      <c r="Z27" s="39">
        <v>10.1601215630247</v>
      </c>
      <c r="AA27" s="39">
        <f>Y27/Z27</f>
        <v>0.507018313515771</v>
      </c>
    </row>
    <row r="28" spans="1:27">
      <c r="A28" s="37" t="s">
        <v>23</v>
      </c>
      <c r="B28" s="36"/>
      <c r="C28" s="36" t="s">
        <v>15</v>
      </c>
      <c r="D28" s="36" t="s">
        <v>9</v>
      </c>
      <c r="E28" s="43">
        <v>-0.976154477874545</v>
      </c>
      <c r="F28" s="43">
        <v>12.9439154423545</v>
      </c>
      <c r="G28" s="36">
        <f t="shared" si="0"/>
        <v>-0.0754141575029466</v>
      </c>
      <c r="H28" s="36" t="s">
        <v>10</v>
      </c>
      <c r="I28" s="43">
        <v>-0.0504694276271403</v>
      </c>
      <c r="J28" s="43">
        <v>53.5477853749299</v>
      </c>
      <c r="K28" s="36">
        <f t="shared" si="1"/>
        <v>-0.000942511950284487</v>
      </c>
      <c r="L28" s="36" t="s">
        <v>11</v>
      </c>
      <c r="M28" s="43">
        <v>-3.97244444494944</v>
      </c>
      <c r="N28" s="43">
        <v>0.463589753178854</v>
      </c>
      <c r="O28" s="36">
        <f t="shared" si="2"/>
        <v>-8.56887887989375</v>
      </c>
      <c r="P28" s="39" t="s">
        <v>12</v>
      </c>
      <c r="Q28" s="43">
        <v>0.918397441135461</v>
      </c>
      <c r="R28" s="43">
        <v>0.301310051388057</v>
      </c>
      <c r="S28" s="39">
        <f t="shared" si="3"/>
        <v>3.04801461784844</v>
      </c>
      <c r="T28" s="39" t="s">
        <v>13</v>
      </c>
      <c r="U28" s="43">
        <v>5.90675722801151</v>
      </c>
      <c r="V28" s="43">
        <v>6.29426155572327</v>
      </c>
      <c r="W28" s="39">
        <f t="shared" si="4"/>
        <v>0.938435299473787</v>
      </c>
      <c r="X28" s="39" t="s">
        <v>13</v>
      </c>
      <c r="Y28" s="51">
        <v>6.52535687</v>
      </c>
      <c r="Z28" s="39">
        <v>10.1601215630247</v>
      </c>
      <c r="AA28" s="39">
        <f>Y28/Z28</f>
        <v>0.642251849992372</v>
      </c>
    </row>
    <row r="29" spans="1:27">
      <c r="A29" s="35" t="s">
        <v>24</v>
      </c>
      <c r="B29" s="39"/>
      <c r="C29" s="36" t="s">
        <v>8</v>
      </c>
      <c r="D29" s="36" t="s">
        <v>9</v>
      </c>
      <c r="E29" s="43">
        <v>-2.35099190716951</v>
      </c>
      <c r="F29" s="43">
        <v>0.729427816545933</v>
      </c>
      <c r="G29" s="36">
        <f t="shared" si="0"/>
        <v>-3.22306313776487</v>
      </c>
      <c r="H29" s="36" t="s">
        <v>10</v>
      </c>
      <c r="I29" s="43">
        <v>-2.25929369040169</v>
      </c>
      <c r="J29" s="43">
        <v>49.7334837738522</v>
      </c>
      <c r="K29" s="36">
        <f t="shared" si="1"/>
        <v>-0.0454280198965175</v>
      </c>
      <c r="L29" s="36" t="s">
        <v>11</v>
      </c>
      <c r="M29" s="43">
        <v>3.28553343555131</v>
      </c>
      <c r="N29" s="43">
        <v>0.316927783820356</v>
      </c>
      <c r="O29" s="36">
        <f t="shared" si="2"/>
        <v>10.366820465995</v>
      </c>
      <c r="P29" s="39" t="s">
        <v>12</v>
      </c>
      <c r="Q29" s="43">
        <v>0.734436892221216</v>
      </c>
      <c r="R29" s="43">
        <v>0.564501700489257</v>
      </c>
      <c r="S29" s="39">
        <f t="shared" si="3"/>
        <v>1.301035748138</v>
      </c>
      <c r="T29" s="39" t="s">
        <v>13</v>
      </c>
      <c r="U29" s="43">
        <v>1.43166995401645</v>
      </c>
      <c r="V29" s="43">
        <v>6.01870850523648</v>
      </c>
      <c r="W29" s="39">
        <f t="shared" si="4"/>
        <v>0.237869960436005</v>
      </c>
      <c r="X29" s="39" t="s">
        <v>13</v>
      </c>
      <c r="Y29" s="51">
        <v>-0.75783184</v>
      </c>
      <c r="Z29" s="39">
        <v>6.01870850523648</v>
      </c>
      <c r="AA29" s="39">
        <f>Y29/Z29</f>
        <v>-0.125912700264627</v>
      </c>
    </row>
    <row r="30" spans="1:27">
      <c r="A30" s="35" t="s">
        <v>24</v>
      </c>
      <c r="B30" s="39"/>
      <c r="C30" s="36" t="s">
        <v>14</v>
      </c>
      <c r="D30" s="36" t="s">
        <v>9</v>
      </c>
      <c r="E30" s="43">
        <v>6.22690639240701</v>
      </c>
      <c r="F30" s="43">
        <v>0.941464250751416</v>
      </c>
      <c r="G30" s="36">
        <f t="shared" si="0"/>
        <v>6.61406568272464</v>
      </c>
      <c r="H30" s="36" t="s">
        <v>10</v>
      </c>
      <c r="I30" s="43">
        <v>-3.13239211474505</v>
      </c>
      <c r="J30" s="43">
        <v>65.0129399955417</v>
      </c>
      <c r="K30" s="36">
        <f t="shared" si="1"/>
        <v>-0.0481810561860432</v>
      </c>
      <c r="L30" s="36" t="s">
        <v>11</v>
      </c>
      <c r="M30" s="43">
        <v>1.66758916163518</v>
      </c>
      <c r="N30" s="43">
        <v>0.511650323119663</v>
      </c>
      <c r="O30" s="36">
        <f t="shared" si="2"/>
        <v>3.25923601780892</v>
      </c>
      <c r="P30" s="39" t="s">
        <v>12</v>
      </c>
      <c r="Q30" s="43">
        <v>1.03264990223092</v>
      </c>
      <c r="R30" s="43">
        <v>0.639584069851819</v>
      </c>
      <c r="S30" s="39">
        <f t="shared" si="3"/>
        <v>1.61456476311264</v>
      </c>
      <c r="T30" s="39" t="s">
        <v>13</v>
      </c>
      <c r="U30" s="43">
        <v>1.43166995401645</v>
      </c>
      <c r="V30" s="43">
        <v>6.01870850523648</v>
      </c>
      <c r="W30" s="39">
        <f t="shared" si="4"/>
        <v>0.237869960436005</v>
      </c>
      <c r="X30" s="39" t="s">
        <v>13</v>
      </c>
      <c r="Y30" s="51">
        <v>0.14288915</v>
      </c>
      <c r="Z30" s="39">
        <v>6.01870850523648</v>
      </c>
      <c r="AA30" s="39">
        <f>Y30/Z30</f>
        <v>0.0237408324187293</v>
      </c>
    </row>
    <row r="31" spans="1:27">
      <c r="A31" s="35" t="s">
        <v>24</v>
      </c>
      <c r="B31" s="39"/>
      <c r="C31" s="36" t="s">
        <v>15</v>
      </c>
      <c r="D31" s="36" t="s">
        <v>9</v>
      </c>
      <c r="E31" s="43">
        <v>1.23360920997787</v>
      </c>
      <c r="F31" s="43">
        <v>0.778302796284643</v>
      </c>
      <c r="G31" s="36">
        <f t="shared" si="0"/>
        <v>1.58499907216922</v>
      </c>
      <c r="H31" s="36" t="s">
        <v>10</v>
      </c>
      <c r="I31" s="43">
        <v>-1.45678378159713</v>
      </c>
      <c r="J31" s="43">
        <v>83.2106729613128</v>
      </c>
      <c r="K31" s="36">
        <f t="shared" si="1"/>
        <v>-0.0175071746177853</v>
      </c>
      <c r="L31" s="36" t="s">
        <v>11</v>
      </c>
      <c r="M31" s="43">
        <v>1.37404550532886</v>
      </c>
      <c r="N31" s="43">
        <v>0.290928719949574</v>
      </c>
      <c r="O31" s="36">
        <f t="shared" si="2"/>
        <v>4.72296274347552</v>
      </c>
      <c r="P31" s="39" t="s">
        <v>12</v>
      </c>
      <c r="Q31" s="43">
        <v>0.107812996619828</v>
      </c>
      <c r="R31" s="43">
        <v>0.471149010737132</v>
      </c>
      <c r="S31" s="39">
        <f t="shared" si="3"/>
        <v>0.228829933126996</v>
      </c>
      <c r="T31" s="39" t="s">
        <v>13</v>
      </c>
      <c r="U31" s="43">
        <v>0.280701489618216</v>
      </c>
      <c r="V31" s="43">
        <v>6.01870850523648</v>
      </c>
      <c r="W31" s="39">
        <f t="shared" si="4"/>
        <v>0.0466381598932721</v>
      </c>
      <c r="X31" s="39" t="s">
        <v>13</v>
      </c>
      <c r="Y31" s="51">
        <v>0.1626636</v>
      </c>
      <c r="Z31" s="39">
        <v>6.01870850523648</v>
      </c>
      <c r="AA31" s="39">
        <f>Y31/Z31</f>
        <v>0.0270263296284373</v>
      </c>
    </row>
    <row r="32" spans="1:27">
      <c r="A32" s="35" t="s">
        <v>25</v>
      </c>
      <c r="B32" s="39"/>
      <c r="C32" s="36" t="s">
        <v>8</v>
      </c>
      <c r="D32" s="36" t="s">
        <v>9</v>
      </c>
      <c r="E32" s="43">
        <v>-1.91548237805575</v>
      </c>
      <c r="F32" s="43">
        <v>0.729427816545933</v>
      </c>
      <c r="G32" s="36">
        <f t="shared" si="0"/>
        <v>-2.62600676119832</v>
      </c>
      <c r="H32" s="36" t="s">
        <v>10</v>
      </c>
      <c r="I32" s="43">
        <v>-4.82331488307454</v>
      </c>
      <c r="J32" s="43">
        <v>49.7334837738522</v>
      </c>
      <c r="K32" s="36">
        <f t="shared" si="1"/>
        <v>-0.0969832498565169</v>
      </c>
      <c r="L32" s="36" t="s">
        <v>11</v>
      </c>
      <c r="M32" s="43">
        <v>-1.52317482207945</v>
      </c>
      <c r="N32" s="43">
        <v>0.316927783820356</v>
      </c>
      <c r="O32" s="36">
        <f t="shared" si="2"/>
        <v>-4.80606276836502</v>
      </c>
      <c r="P32" s="39" t="s">
        <v>12</v>
      </c>
      <c r="Q32" s="43">
        <v>-2.90781618532382</v>
      </c>
      <c r="R32" s="43">
        <v>0.564501700489257</v>
      </c>
      <c r="S32" s="39">
        <f t="shared" si="3"/>
        <v>-5.15112032931628</v>
      </c>
      <c r="T32" s="39" t="s">
        <v>13</v>
      </c>
      <c r="U32" s="43">
        <v>-3.26329059023758</v>
      </c>
      <c r="V32" s="43">
        <v>6.01870850523648</v>
      </c>
      <c r="W32" s="39">
        <f t="shared" si="4"/>
        <v>-0.542191167324087</v>
      </c>
      <c r="X32" s="39" t="s">
        <v>13</v>
      </c>
      <c r="Y32" s="51">
        <v>-2.48670078</v>
      </c>
      <c r="Z32" s="39">
        <v>5.84412920406849</v>
      </c>
      <c r="AA32" s="39">
        <f>Y32/Z32</f>
        <v>-0.425504073090794</v>
      </c>
    </row>
    <row r="33" spans="1:27">
      <c r="A33" s="35" t="s">
        <v>25</v>
      </c>
      <c r="B33" s="39"/>
      <c r="C33" s="36" t="s">
        <v>14</v>
      </c>
      <c r="D33" s="36" t="s">
        <v>9</v>
      </c>
      <c r="E33" s="43">
        <v>1.14815319617749</v>
      </c>
      <c r="F33" s="43">
        <v>0.941464250751416</v>
      </c>
      <c r="G33" s="36">
        <f t="shared" si="0"/>
        <v>1.21953987659235</v>
      </c>
      <c r="H33" s="36" t="s">
        <v>10</v>
      </c>
      <c r="I33" s="43">
        <v>-1.05836082733915</v>
      </c>
      <c r="J33" s="43">
        <v>65.0129399955417</v>
      </c>
      <c r="K33" s="36">
        <f t="shared" si="1"/>
        <v>-0.0162792334481678</v>
      </c>
      <c r="L33" s="36" t="s">
        <v>11</v>
      </c>
      <c r="M33" s="43">
        <v>-2.43848985842462</v>
      </c>
      <c r="N33" s="43">
        <v>0.511650323119663</v>
      </c>
      <c r="O33" s="36">
        <f t="shared" si="2"/>
        <v>-4.76593045726332</v>
      </c>
      <c r="P33" s="39" t="s">
        <v>12</v>
      </c>
      <c r="Q33" s="43">
        <v>2.46361195321153</v>
      </c>
      <c r="R33" s="43">
        <v>0.639584069851819</v>
      </c>
      <c r="S33" s="39">
        <f t="shared" si="3"/>
        <v>3.85189698952681</v>
      </c>
      <c r="T33" s="39" t="s">
        <v>13</v>
      </c>
      <c r="U33" s="43">
        <v>-3.26329059023758</v>
      </c>
      <c r="V33" s="43">
        <v>6.01870850523648</v>
      </c>
      <c r="W33" s="39">
        <f t="shared" si="4"/>
        <v>-0.542191167324087</v>
      </c>
      <c r="X33" s="39" t="s">
        <v>13</v>
      </c>
      <c r="Y33" s="51">
        <v>-1.4665974</v>
      </c>
      <c r="Z33" s="39">
        <v>5.84412920406849</v>
      </c>
      <c r="AA33" s="39">
        <f>Y33/Z33</f>
        <v>-0.250952254611175</v>
      </c>
    </row>
    <row r="34" spans="1:27">
      <c r="A34" s="35" t="s">
        <v>25</v>
      </c>
      <c r="B34" s="39"/>
      <c r="C34" s="36" t="s">
        <v>15</v>
      </c>
      <c r="D34" s="36" t="s">
        <v>9</v>
      </c>
      <c r="E34" s="43">
        <v>1.75345673303025</v>
      </c>
      <c r="F34" s="43">
        <v>0.778302796284643</v>
      </c>
      <c r="G34" s="36">
        <f t="shared" si="0"/>
        <v>2.25292359400566</v>
      </c>
      <c r="H34" s="36" t="s">
        <v>10</v>
      </c>
      <c r="I34" s="43">
        <v>-3.02216766451807</v>
      </c>
      <c r="J34" s="43">
        <v>83.2106729613128</v>
      </c>
      <c r="K34" s="36">
        <f t="shared" si="1"/>
        <v>-0.0363194714928356</v>
      </c>
      <c r="L34" s="36" t="s">
        <v>11</v>
      </c>
      <c r="M34" s="43">
        <v>-0.495501729518639</v>
      </c>
      <c r="N34" s="43">
        <v>0.290928719949574</v>
      </c>
      <c r="O34" s="36">
        <f t="shared" si="2"/>
        <v>-1.70317227396636</v>
      </c>
      <c r="P34" s="39" t="s">
        <v>12</v>
      </c>
      <c r="Q34" s="43">
        <v>1.86525931075663</v>
      </c>
      <c r="R34" s="43">
        <v>0.471149010737132</v>
      </c>
      <c r="S34" s="39">
        <f t="shared" si="3"/>
        <v>3.95895835128329</v>
      </c>
      <c r="T34" s="39" t="s">
        <v>13</v>
      </c>
      <c r="U34" s="43">
        <v>-2.56989994992583</v>
      </c>
      <c r="V34" s="43">
        <v>6.01870850523648</v>
      </c>
      <c r="W34" s="39">
        <f t="shared" si="4"/>
        <v>-0.42698528225614</v>
      </c>
      <c r="X34" s="39" t="s">
        <v>13</v>
      </c>
      <c r="Y34" s="51">
        <v>-1.89336649</v>
      </c>
      <c r="Z34" s="39">
        <v>5.84412920406849</v>
      </c>
      <c r="AA34" s="39">
        <f>Y34/Z34</f>
        <v>-0.323977520668417</v>
      </c>
    </row>
    <row r="35" spans="1:27">
      <c r="A35" s="35" t="s">
        <v>26</v>
      </c>
      <c r="B35" s="39"/>
      <c r="C35" s="36" t="s">
        <v>8</v>
      </c>
      <c r="D35" s="36" t="s">
        <v>9</v>
      </c>
      <c r="E35" s="43">
        <v>-1.46361016420733</v>
      </c>
      <c r="F35" s="43">
        <v>0.729427816545933</v>
      </c>
      <c r="G35" s="36">
        <f t="shared" si="0"/>
        <v>-2.00651816534497</v>
      </c>
      <c r="H35" s="36" t="s">
        <v>10</v>
      </c>
      <c r="I35" s="43">
        <v>-2.1748989329698</v>
      </c>
      <c r="J35" s="43">
        <v>49.7334837738522</v>
      </c>
      <c r="K35" s="36">
        <f t="shared" si="1"/>
        <v>-0.0437310795048963</v>
      </c>
      <c r="L35" s="36" t="s">
        <v>11</v>
      </c>
      <c r="M35" s="43">
        <v>1.08579778027673</v>
      </c>
      <c r="N35" s="43">
        <v>0.316927783820356</v>
      </c>
      <c r="O35" s="36">
        <f t="shared" si="2"/>
        <v>3.42601007456068</v>
      </c>
      <c r="P35" s="39" t="s">
        <v>12</v>
      </c>
      <c r="Q35" s="43">
        <v>-2.58954112576113</v>
      </c>
      <c r="R35" s="43">
        <v>0.564501700489257</v>
      </c>
      <c r="S35" s="39">
        <f t="shared" si="3"/>
        <v>-4.5873043845869</v>
      </c>
      <c r="T35" s="39" t="s">
        <v>13</v>
      </c>
      <c r="U35" s="43">
        <v>3.604505795924</v>
      </c>
      <c r="V35" s="43">
        <v>6.01870850523648</v>
      </c>
      <c r="W35" s="39">
        <f t="shared" si="4"/>
        <v>0.598883596503794</v>
      </c>
      <c r="X35" s="39" t="s">
        <v>13</v>
      </c>
      <c r="Y35" s="51">
        <v>2.34007265</v>
      </c>
      <c r="Z35" s="39">
        <v>5.89051991356204</v>
      </c>
      <c r="AA35" s="39">
        <f>Y35/Z35</f>
        <v>0.397260799443583</v>
      </c>
    </row>
    <row r="36" spans="1:27">
      <c r="A36" s="35" t="s">
        <v>26</v>
      </c>
      <c r="B36" s="39"/>
      <c r="C36" s="36" t="s">
        <v>14</v>
      </c>
      <c r="D36" s="36" t="s">
        <v>9</v>
      </c>
      <c r="E36" s="43">
        <v>-0.687207857147656</v>
      </c>
      <c r="F36" s="43">
        <v>0.941464250751416</v>
      </c>
      <c r="G36" s="36">
        <f t="shared" si="0"/>
        <v>-0.729935158556654</v>
      </c>
      <c r="H36" s="36" t="s">
        <v>10</v>
      </c>
      <c r="I36" s="43">
        <v>-3.56430342483611</v>
      </c>
      <c r="J36" s="43">
        <v>65.0129399955417</v>
      </c>
      <c r="K36" s="36">
        <f t="shared" si="1"/>
        <v>-0.054824523011581</v>
      </c>
      <c r="L36" s="36" t="s">
        <v>11</v>
      </c>
      <c r="M36" s="43">
        <v>0.901301211720901</v>
      </c>
      <c r="N36" s="43">
        <v>0.511650323119663</v>
      </c>
      <c r="O36" s="36">
        <f t="shared" si="2"/>
        <v>1.76155700679604</v>
      </c>
      <c r="P36" s="39" t="s">
        <v>12</v>
      </c>
      <c r="Q36" s="43">
        <v>-1.54728864427516</v>
      </c>
      <c r="R36" s="43">
        <v>0.639584069851819</v>
      </c>
      <c r="S36" s="39">
        <f t="shared" si="3"/>
        <v>-2.41921072961314</v>
      </c>
      <c r="T36" s="39" t="s">
        <v>13</v>
      </c>
      <c r="U36" s="43">
        <v>3.604505795924</v>
      </c>
      <c r="V36" s="43">
        <v>6.01870850523648</v>
      </c>
      <c r="W36" s="39">
        <f t="shared" si="4"/>
        <v>0.598883596503794</v>
      </c>
      <c r="X36" s="39" t="s">
        <v>13</v>
      </c>
      <c r="Y36" s="51">
        <v>3.53568702</v>
      </c>
      <c r="Z36" s="39">
        <v>5.89051991356204</v>
      </c>
      <c r="AA36" s="39">
        <f>Y36/Z36</f>
        <v>0.600233438114624</v>
      </c>
    </row>
    <row r="37" spans="1:27">
      <c r="A37" s="35" t="s">
        <v>26</v>
      </c>
      <c r="B37" s="39"/>
      <c r="C37" s="36" t="s">
        <v>15</v>
      </c>
      <c r="D37" s="36" t="s">
        <v>9</v>
      </c>
      <c r="E37" s="43">
        <v>-1.13381778279807</v>
      </c>
      <c r="F37" s="43">
        <v>0.778302796284643</v>
      </c>
      <c r="G37" s="36">
        <f t="shared" si="0"/>
        <v>-1.45678235798527</v>
      </c>
      <c r="H37" s="36" t="s">
        <v>10</v>
      </c>
      <c r="I37" s="43">
        <v>-4.55809516258912</v>
      </c>
      <c r="J37" s="43">
        <v>83.2106729613128</v>
      </c>
      <c r="K37" s="36">
        <f t="shared" si="1"/>
        <v>-0.0547777706918477</v>
      </c>
      <c r="L37" s="36" t="s">
        <v>11</v>
      </c>
      <c r="M37" s="43">
        <v>1.48377566149969</v>
      </c>
      <c r="N37" s="43">
        <v>0.290928719949574</v>
      </c>
      <c r="O37" s="36">
        <f t="shared" si="2"/>
        <v>5.10013470569997</v>
      </c>
      <c r="P37" s="39" t="s">
        <v>12</v>
      </c>
      <c r="Q37" s="43">
        <v>-2.73495743894224</v>
      </c>
      <c r="R37" s="43">
        <v>0.471149010737132</v>
      </c>
      <c r="S37" s="39">
        <f t="shared" si="3"/>
        <v>-5.80486720042835</v>
      </c>
      <c r="T37" s="39" t="s">
        <v>13</v>
      </c>
      <c r="U37" s="43">
        <v>3.57160692281727</v>
      </c>
      <c r="V37" s="43">
        <v>6.01870850523648</v>
      </c>
      <c r="W37" s="39">
        <f t="shared" si="4"/>
        <v>0.593417494751549</v>
      </c>
      <c r="X37" s="39" t="s">
        <v>13</v>
      </c>
      <c r="Y37" s="51">
        <v>3.79805795</v>
      </c>
      <c r="Z37" s="39">
        <v>5.89051991356204</v>
      </c>
      <c r="AA37" s="39">
        <f>Y37/Z37</f>
        <v>0.644774655842439</v>
      </c>
    </row>
    <row r="38" spans="1:27">
      <c r="A38" s="37" t="s">
        <v>27</v>
      </c>
      <c r="B38" s="39"/>
      <c r="C38" s="36" t="s">
        <v>8</v>
      </c>
      <c r="D38" s="36" t="s">
        <v>9</v>
      </c>
      <c r="E38" s="43">
        <v>8.09756894873708</v>
      </c>
      <c r="F38" s="43">
        <v>24.1346456080285</v>
      </c>
      <c r="G38" s="36">
        <f t="shared" si="0"/>
        <v>0.33551638090113</v>
      </c>
      <c r="H38" s="36" t="s">
        <v>10</v>
      </c>
      <c r="I38" s="43">
        <v>-11.9424716901934</v>
      </c>
      <c r="J38" s="43">
        <v>26.7775782740869</v>
      </c>
      <c r="K38" s="36">
        <f t="shared" si="1"/>
        <v>-0.445987742728413</v>
      </c>
      <c r="L38" s="36" t="s">
        <v>11</v>
      </c>
      <c r="M38" s="43">
        <v>-1.05000369347352</v>
      </c>
      <c r="N38" s="43">
        <v>0.332712626710664</v>
      </c>
      <c r="O38" s="36">
        <f t="shared" si="2"/>
        <v>-3.15588772164824</v>
      </c>
      <c r="P38" s="39" t="s">
        <v>12</v>
      </c>
      <c r="Q38" s="43">
        <v>-9.85775302853258</v>
      </c>
      <c r="R38" s="43">
        <v>0.656868046798288</v>
      </c>
      <c r="S38" s="39">
        <f t="shared" si="3"/>
        <v>-15.0072043792986</v>
      </c>
      <c r="T38" s="39" t="s">
        <v>13</v>
      </c>
      <c r="U38" s="43">
        <v>-0.113843481836068</v>
      </c>
      <c r="V38" s="43">
        <v>7.33154003535006</v>
      </c>
      <c r="W38" s="39">
        <f t="shared" si="4"/>
        <v>-0.0155279083640211</v>
      </c>
      <c r="X38" s="39" t="s">
        <v>13</v>
      </c>
      <c r="Y38" s="51">
        <v>8.31605284</v>
      </c>
      <c r="Z38" s="39">
        <v>9.03634636097773</v>
      </c>
      <c r="AA38" s="39">
        <f>Y38/Z38</f>
        <v>0.920289297000807</v>
      </c>
    </row>
    <row r="39" spans="1:27">
      <c r="A39" s="37" t="s">
        <v>27</v>
      </c>
      <c r="B39" s="39"/>
      <c r="C39" s="36" t="s">
        <v>14</v>
      </c>
      <c r="D39" s="36" t="s">
        <v>9</v>
      </c>
      <c r="E39" s="43">
        <v>-6.32313330339938</v>
      </c>
      <c r="F39" s="43">
        <v>31.4792268059584</v>
      </c>
      <c r="G39" s="36">
        <f t="shared" si="0"/>
        <v>-0.20086685554178</v>
      </c>
      <c r="H39" s="36" t="s">
        <v>10</v>
      </c>
      <c r="I39" s="43">
        <v>1.25921287963669</v>
      </c>
      <c r="J39" s="43">
        <v>44.6273180327129</v>
      </c>
      <c r="K39" s="36">
        <f t="shared" si="1"/>
        <v>0.028216189884269</v>
      </c>
      <c r="L39" s="36" t="s">
        <v>11</v>
      </c>
      <c r="M39" s="43">
        <v>-7.43966902036894</v>
      </c>
      <c r="N39" s="43">
        <v>0.59356181954269</v>
      </c>
      <c r="O39" s="36">
        <f t="shared" si="2"/>
        <v>-12.5339413274608</v>
      </c>
      <c r="P39" s="39" t="s">
        <v>12</v>
      </c>
      <c r="Q39" s="43">
        <v>3.08630230093017</v>
      </c>
      <c r="R39" s="43">
        <v>0.503225088705705</v>
      </c>
      <c r="S39" s="39">
        <f t="shared" si="3"/>
        <v>6.13304537114423</v>
      </c>
      <c r="T39" s="39" t="s">
        <v>13</v>
      </c>
      <c r="U39" s="43">
        <v>-0.113843481836068</v>
      </c>
      <c r="V39" s="43">
        <v>7.33154003535006</v>
      </c>
      <c r="W39" s="39">
        <f t="shared" si="4"/>
        <v>-0.0155279083640211</v>
      </c>
      <c r="X39" s="39" t="s">
        <v>13</v>
      </c>
      <c r="Y39" s="51">
        <v>1.58428926</v>
      </c>
      <c r="Z39" s="39">
        <v>9.03634636097773</v>
      </c>
      <c r="AA39" s="39">
        <f>Y39/Z39</f>
        <v>0.175324096345127</v>
      </c>
    </row>
    <row r="40" spans="1:27">
      <c r="A40" s="37" t="s">
        <v>27</v>
      </c>
      <c r="B40" s="39"/>
      <c r="C40" s="36" t="s">
        <v>15</v>
      </c>
      <c r="D40" s="36" t="s">
        <v>9</v>
      </c>
      <c r="E40" s="43">
        <v>2.7447512682762</v>
      </c>
      <c r="F40" s="43">
        <v>21.8857302807714</v>
      </c>
      <c r="G40" s="36">
        <f t="shared" si="0"/>
        <v>0.125412825300498</v>
      </c>
      <c r="H40" s="36" t="s">
        <v>10</v>
      </c>
      <c r="I40" s="43">
        <v>-2.35016180486648</v>
      </c>
      <c r="J40" s="43">
        <v>60.1744180837337</v>
      </c>
      <c r="K40" s="36">
        <f t="shared" si="1"/>
        <v>-0.039055829365831</v>
      </c>
      <c r="L40" s="36" t="s">
        <v>11</v>
      </c>
      <c r="M40" s="43">
        <v>-0.561988371406782</v>
      </c>
      <c r="N40" s="43">
        <v>0.346539624952296</v>
      </c>
      <c r="O40" s="36">
        <f t="shared" si="2"/>
        <v>-1.62171460618434</v>
      </c>
      <c r="P40" s="39" t="s">
        <v>12</v>
      </c>
      <c r="Q40" s="43">
        <v>-5.27232850951806</v>
      </c>
      <c r="R40" s="43">
        <v>0.445766463659083</v>
      </c>
      <c r="S40" s="39">
        <f t="shared" si="3"/>
        <v>-11.8275575650982</v>
      </c>
      <c r="T40" s="39" t="s">
        <v>13</v>
      </c>
      <c r="U40" s="43">
        <v>0.810839220913916</v>
      </c>
      <c r="V40" s="43">
        <v>7.33154003535006</v>
      </c>
      <c r="W40" s="39">
        <f t="shared" si="4"/>
        <v>0.110596029893357</v>
      </c>
      <c r="X40" s="39" t="s">
        <v>13</v>
      </c>
      <c r="Y40" s="51">
        <v>1.65927791</v>
      </c>
      <c r="Z40" s="39">
        <v>9.03634636097773</v>
      </c>
      <c r="AA40" s="39">
        <f>Y40/Z40</f>
        <v>0.183622654966544</v>
      </c>
    </row>
    <row r="41" spans="1:27">
      <c r="A41" s="37" t="s">
        <v>28</v>
      </c>
      <c r="B41" s="39"/>
      <c r="C41" s="36" t="s">
        <v>8</v>
      </c>
      <c r="D41" s="36" t="s">
        <v>9</v>
      </c>
      <c r="E41" s="43">
        <v>1.30045615764816</v>
      </c>
      <c r="F41" s="43">
        <v>24.1346456080285</v>
      </c>
      <c r="G41" s="36">
        <f t="shared" si="0"/>
        <v>0.0538833749112752</v>
      </c>
      <c r="H41" s="36" t="s">
        <v>10</v>
      </c>
      <c r="I41" s="43">
        <v>1.0212024535109</v>
      </c>
      <c r="J41" s="43">
        <v>26.7775782740869</v>
      </c>
      <c r="K41" s="36">
        <f t="shared" si="1"/>
        <v>0.0381364753398605</v>
      </c>
      <c r="L41" s="36" t="s">
        <v>11</v>
      </c>
      <c r="M41" s="43">
        <v>-4.95283419784379</v>
      </c>
      <c r="N41" s="43">
        <v>0.332712626710664</v>
      </c>
      <c r="O41" s="36">
        <f t="shared" si="2"/>
        <v>-14.8862225242534</v>
      </c>
      <c r="P41" s="39" t="s">
        <v>12</v>
      </c>
      <c r="Q41" s="43">
        <v>-5.54032645136963</v>
      </c>
      <c r="R41" s="43">
        <v>0.656868046798288</v>
      </c>
      <c r="S41" s="39">
        <f t="shared" si="3"/>
        <v>-8.43445875982907</v>
      </c>
      <c r="T41" s="39" t="s">
        <v>13</v>
      </c>
      <c r="U41" s="43">
        <v>-0.624594177915897</v>
      </c>
      <c r="V41" s="43">
        <v>7.33154003535006</v>
      </c>
      <c r="W41" s="39">
        <f t="shared" si="4"/>
        <v>-0.0851927664452936</v>
      </c>
      <c r="X41" s="39" t="s">
        <v>13</v>
      </c>
      <c r="Y41" s="51">
        <v>12.20085509</v>
      </c>
      <c r="Z41" s="39">
        <v>6.27251500153204</v>
      </c>
      <c r="AA41" s="39">
        <f>Y41/Z41</f>
        <v>1.9451296787684</v>
      </c>
    </row>
    <row r="42" spans="1:27">
      <c r="A42" s="37" t="s">
        <v>28</v>
      </c>
      <c r="B42" s="39"/>
      <c r="C42" s="36" t="s">
        <v>14</v>
      </c>
      <c r="D42" s="36" t="s">
        <v>9</v>
      </c>
      <c r="E42" s="43">
        <v>1.86071197408335</v>
      </c>
      <c r="F42" s="43">
        <v>31.4792268059584</v>
      </c>
      <c r="G42" s="36">
        <f t="shared" si="0"/>
        <v>0.0591092019366611</v>
      </c>
      <c r="H42" s="36" t="s">
        <v>10</v>
      </c>
      <c r="I42" s="43">
        <v>-3.84476857367198</v>
      </c>
      <c r="J42" s="43">
        <v>44.6273180327129</v>
      </c>
      <c r="K42" s="36">
        <f t="shared" si="1"/>
        <v>-0.0861528037793728</v>
      </c>
      <c r="L42" s="36" t="s">
        <v>11</v>
      </c>
      <c r="M42" s="43">
        <v>-3.19639902309949</v>
      </c>
      <c r="N42" s="43">
        <v>0.59356181954269</v>
      </c>
      <c r="O42" s="36">
        <f t="shared" si="2"/>
        <v>-5.38511561535773</v>
      </c>
      <c r="P42" s="39" t="s">
        <v>12</v>
      </c>
      <c r="Q42" s="43">
        <v>-3.23707234018666</v>
      </c>
      <c r="R42" s="43">
        <v>0.503225088705705</v>
      </c>
      <c r="S42" s="39">
        <f t="shared" si="3"/>
        <v>-6.43265292776322</v>
      </c>
      <c r="T42" s="39" t="s">
        <v>13</v>
      </c>
      <c r="U42" s="43">
        <v>-0.624594177915897</v>
      </c>
      <c r="V42" s="43">
        <v>7.33154003535006</v>
      </c>
      <c r="W42" s="39">
        <f t="shared" si="4"/>
        <v>-0.0851927664452936</v>
      </c>
      <c r="X42" s="39" t="s">
        <v>13</v>
      </c>
      <c r="Y42" s="51">
        <v>-1.64527745</v>
      </c>
      <c r="Z42" s="39">
        <v>6.27251500153204</v>
      </c>
      <c r="AA42" s="39">
        <f>Y42/Z42</f>
        <v>-0.262299484273556</v>
      </c>
    </row>
    <row r="43" spans="1:27">
      <c r="A43" s="37" t="s">
        <v>28</v>
      </c>
      <c r="B43" s="39"/>
      <c r="C43" s="36" t="s">
        <v>15</v>
      </c>
      <c r="D43" s="36" t="s">
        <v>9</v>
      </c>
      <c r="E43" s="43">
        <v>-1.71617290178864</v>
      </c>
      <c r="F43" s="43">
        <v>21.8857302807714</v>
      </c>
      <c r="G43" s="36">
        <f t="shared" si="0"/>
        <v>-0.0784151536079403</v>
      </c>
      <c r="H43" s="36" t="s">
        <v>10</v>
      </c>
      <c r="I43" s="43">
        <v>-2.28048912910147</v>
      </c>
      <c r="J43" s="43">
        <v>60.1744180837337</v>
      </c>
      <c r="K43" s="36">
        <f t="shared" si="1"/>
        <v>-0.0378979839228047</v>
      </c>
      <c r="L43" s="36" t="s">
        <v>11</v>
      </c>
      <c r="M43" s="43">
        <v>-3.46784093408621</v>
      </c>
      <c r="N43" s="43">
        <v>0.346539624952296</v>
      </c>
      <c r="O43" s="36">
        <f t="shared" si="2"/>
        <v>-10.0070545599615</v>
      </c>
      <c r="P43" s="39" t="s">
        <v>12</v>
      </c>
      <c r="Q43" s="43">
        <v>-4.61971166184581</v>
      </c>
      <c r="R43" s="43">
        <v>0.445766463659083</v>
      </c>
      <c r="S43" s="39">
        <f t="shared" si="3"/>
        <v>-10.3635244875193</v>
      </c>
      <c r="T43" s="39" t="s">
        <v>13</v>
      </c>
      <c r="U43" s="43">
        <v>3.06128753733445</v>
      </c>
      <c r="V43" s="43">
        <v>7.33154003535006</v>
      </c>
      <c r="W43" s="39">
        <f t="shared" si="4"/>
        <v>0.417550408587284</v>
      </c>
      <c r="X43" s="39" t="s">
        <v>13</v>
      </c>
      <c r="Y43" s="51">
        <v>2.53398246</v>
      </c>
      <c r="Z43" s="39">
        <v>6.27251500153204</v>
      </c>
      <c r="AA43" s="39">
        <f>Y43/Z43</f>
        <v>0.403981889143523</v>
      </c>
    </row>
    <row r="44" spans="1:27">
      <c r="A44" s="37" t="s">
        <v>29</v>
      </c>
      <c r="B44" s="39"/>
      <c r="C44" s="36" t="s">
        <v>8</v>
      </c>
      <c r="D44" s="36" t="s">
        <v>9</v>
      </c>
      <c r="E44" s="43">
        <v>0.0262486172875403</v>
      </c>
      <c r="F44" s="43">
        <v>24.1346456080285</v>
      </c>
      <c r="G44" s="36">
        <f t="shared" si="0"/>
        <v>0.00108759074874539</v>
      </c>
      <c r="H44" s="36" t="s">
        <v>10</v>
      </c>
      <c r="I44" s="43">
        <v>-1.98070914590877</v>
      </c>
      <c r="J44" s="43">
        <v>26.7775782740869</v>
      </c>
      <c r="K44" s="36">
        <f t="shared" si="1"/>
        <v>-0.0739689424351542</v>
      </c>
      <c r="L44" s="36" t="s">
        <v>11</v>
      </c>
      <c r="M44" s="43">
        <v>-3.72353336208812</v>
      </c>
      <c r="N44" s="43">
        <v>0.332712626710664</v>
      </c>
      <c r="O44" s="36">
        <f t="shared" si="2"/>
        <v>-11.191439888833</v>
      </c>
      <c r="P44" s="39" t="s">
        <v>12</v>
      </c>
      <c r="Q44" s="43">
        <v>-3.29199670812171</v>
      </c>
      <c r="R44" s="43">
        <v>0.656868046798288</v>
      </c>
      <c r="S44" s="39">
        <f t="shared" si="3"/>
        <v>-5.01165603071665</v>
      </c>
      <c r="T44" s="39" t="s">
        <v>13</v>
      </c>
      <c r="U44" s="43">
        <v>1.31067046850622</v>
      </c>
      <c r="V44" s="43">
        <v>7.33154003535006</v>
      </c>
      <c r="W44" s="39">
        <f t="shared" si="4"/>
        <v>0.178771508057875</v>
      </c>
      <c r="X44" s="39" t="s">
        <v>13</v>
      </c>
      <c r="Y44" s="51">
        <v>4.60091994</v>
      </c>
      <c r="Z44" s="39">
        <v>4.02906109823782</v>
      </c>
      <c r="AA44" s="39">
        <f>Y44/Z44</f>
        <v>1.14193352441647</v>
      </c>
    </row>
    <row r="45" spans="1:27">
      <c r="A45" s="37" t="s">
        <v>29</v>
      </c>
      <c r="B45" s="39"/>
      <c r="C45" s="36" t="s">
        <v>14</v>
      </c>
      <c r="D45" s="36" t="s">
        <v>9</v>
      </c>
      <c r="E45" s="43">
        <v>-0.844749890498386</v>
      </c>
      <c r="F45" s="43">
        <v>31.4792268059584</v>
      </c>
      <c r="G45" s="36">
        <f t="shared" si="0"/>
        <v>-0.0268351537255194</v>
      </c>
      <c r="H45" s="36" t="s">
        <v>10</v>
      </c>
      <c r="I45" s="43">
        <v>1.16717381681429</v>
      </c>
      <c r="J45" s="43">
        <v>44.6273180327129</v>
      </c>
      <c r="K45" s="36">
        <f t="shared" si="1"/>
        <v>0.0261537970074456</v>
      </c>
      <c r="L45" s="36" t="s">
        <v>11</v>
      </c>
      <c r="M45" s="43">
        <v>0.662509181819942</v>
      </c>
      <c r="N45" s="43">
        <v>0.59356181954269</v>
      </c>
      <c r="O45" s="36">
        <f t="shared" si="2"/>
        <v>1.11615868812177</v>
      </c>
      <c r="P45" s="39" t="s">
        <v>12</v>
      </c>
      <c r="Q45" s="43">
        <v>-1.73287465854584</v>
      </c>
      <c r="R45" s="43">
        <v>0.503225088705705</v>
      </c>
      <c r="S45" s="39">
        <f t="shared" si="3"/>
        <v>-3.44353788679892</v>
      </c>
      <c r="T45" s="39" t="s">
        <v>13</v>
      </c>
      <c r="U45" s="43">
        <v>1.31067046850622</v>
      </c>
      <c r="V45" s="43">
        <v>7.33154003535006</v>
      </c>
      <c r="W45" s="39">
        <f t="shared" si="4"/>
        <v>0.178771508057875</v>
      </c>
      <c r="X45" s="39" t="s">
        <v>13</v>
      </c>
      <c r="Y45" s="51">
        <v>6.47493288</v>
      </c>
      <c r="Z45" s="39">
        <v>4.02906109823782</v>
      </c>
      <c r="AA45" s="39">
        <f>Y45/Z45</f>
        <v>1.60705750598618</v>
      </c>
    </row>
    <row r="46" spans="1:27">
      <c r="A46" s="37" t="s">
        <v>29</v>
      </c>
      <c r="B46" s="39"/>
      <c r="C46" s="36" t="s">
        <v>15</v>
      </c>
      <c r="D46" s="36" t="s">
        <v>9</v>
      </c>
      <c r="E46" s="43">
        <v>-2.33958331024252</v>
      </c>
      <c r="F46" s="43">
        <v>21.8857302807714</v>
      </c>
      <c r="G46" s="36">
        <f t="shared" si="0"/>
        <v>-0.106899942575736</v>
      </c>
      <c r="H46" s="36" t="s">
        <v>10</v>
      </c>
      <c r="I46" s="43">
        <v>-1.53500169548375</v>
      </c>
      <c r="J46" s="43">
        <v>60.1744180837337</v>
      </c>
      <c r="K46" s="36">
        <f t="shared" si="1"/>
        <v>-0.0255092071409443</v>
      </c>
      <c r="L46" s="36" t="s">
        <v>11</v>
      </c>
      <c r="M46" s="43">
        <v>-4.74461555445403</v>
      </c>
      <c r="N46" s="43">
        <v>0.346539624952296</v>
      </c>
      <c r="O46" s="36">
        <f t="shared" si="2"/>
        <v>-13.6914084647814</v>
      </c>
      <c r="P46" s="39" t="s">
        <v>12</v>
      </c>
      <c r="Q46" s="43">
        <v>2.55563837682425</v>
      </c>
      <c r="R46" s="43">
        <v>0.445766463659083</v>
      </c>
      <c r="S46" s="39">
        <f t="shared" si="3"/>
        <v>5.73313289619466</v>
      </c>
      <c r="T46" s="39" t="s">
        <v>13</v>
      </c>
      <c r="U46" s="43">
        <v>5.07699367227475</v>
      </c>
      <c r="V46" s="43">
        <v>7.33154003535006</v>
      </c>
      <c r="W46" s="39">
        <f t="shared" si="4"/>
        <v>0.692486660073505</v>
      </c>
      <c r="X46" s="39" t="s">
        <v>13</v>
      </c>
      <c r="Y46" s="51">
        <v>4.97750089</v>
      </c>
      <c r="Z46" s="39">
        <v>4.02906109823782</v>
      </c>
      <c r="AA46" s="39">
        <f>Y46/Z46</f>
        <v>1.23539970445645</v>
      </c>
    </row>
    <row r="47" spans="1:27">
      <c r="A47" s="37" t="s">
        <v>30</v>
      </c>
      <c r="B47" s="39"/>
      <c r="C47" s="36" t="s">
        <v>8</v>
      </c>
      <c r="D47" s="36" t="s">
        <v>9</v>
      </c>
      <c r="E47" s="43">
        <v>4.53743839606065</v>
      </c>
      <c r="F47" s="43">
        <v>24.1346456080285</v>
      </c>
      <c r="G47" s="36">
        <f t="shared" si="0"/>
        <v>0.18800518017763</v>
      </c>
      <c r="H47" s="36" t="s">
        <v>10</v>
      </c>
      <c r="I47" s="43">
        <v>1.94750827520777</v>
      </c>
      <c r="J47" s="43">
        <v>26.7775782740869</v>
      </c>
      <c r="K47" s="36">
        <f t="shared" si="1"/>
        <v>0.0727290666569503</v>
      </c>
      <c r="L47" s="36" t="s">
        <v>11</v>
      </c>
      <c r="M47" s="43">
        <v>-5.25509142268824</v>
      </c>
      <c r="N47" s="43">
        <v>0.332712626710664</v>
      </c>
      <c r="O47" s="36">
        <f t="shared" si="2"/>
        <v>-15.7946858664255</v>
      </c>
      <c r="P47" s="39" t="s">
        <v>12</v>
      </c>
      <c r="Q47" s="43">
        <v>-3.81036434241379</v>
      </c>
      <c r="R47" s="43">
        <v>0.656868046798288</v>
      </c>
      <c r="S47" s="39">
        <f t="shared" si="3"/>
        <v>-5.80080635827287</v>
      </c>
      <c r="T47" s="39" t="s">
        <v>13</v>
      </c>
      <c r="U47" s="43">
        <v>-4.17332878450717</v>
      </c>
      <c r="V47" s="43">
        <v>7.33154003535006</v>
      </c>
      <c r="W47" s="39">
        <f t="shared" si="4"/>
        <v>-0.569229488536498</v>
      </c>
      <c r="X47" s="39" t="s">
        <v>13</v>
      </c>
      <c r="Y47" s="51">
        <v>-1.33488168</v>
      </c>
      <c r="Z47" s="39">
        <v>4.59589188539311</v>
      </c>
      <c r="AA47" s="39">
        <f>Y47/Z47</f>
        <v>-0.29045106222855</v>
      </c>
    </row>
    <row r="48" spans="1:27">
      <c r="A48" s="37" t="s">
        <v>30</v>
      </c>
      <c r="B48" s="39"/>
      <c r="C48" s="36" t="s">
        <v>14</v>
      </c>
      <c r="D48" s="36" t="s">
        <v>9</v>
      </c>
      <c r="E48" s="43">
        <v>-2.23745754280526</v>
      </c>
      <c r="F48" s="43">
        <v>31.4792268059584</v>
      </c>
      <c r="G48" s="36">
        <f t="shared" si="0"/>
        <v>-0.0710772712620042</v>
      </c>
      <c r="H48" s="36" t="s">
        <v>10</v>
      </c>
      <c r="I48" s="43">
        <v>1.14939614621189</v>
      </c>
      <c r="J48" s="43">
        <v>44.6273180327129</v>
      </c>
      <c r="K48" s="36">
        <f t="shared" si="1"/>
        <v>0.0257554385268986</v>
      </c>
      <c r="L48" s="36" t="s">
        <v>11</v>
      </c>
      <c r="M48" s="43">
        <v>-1.69993589185826</v>
      </c>
      <c r="N48" s="43">
        <v>0.59356181954269</v>
      </c>
      <c r="O48" s="36">
        <f t="shared" si="2"/>
        <v>-2.86395761298794</v>
      </c>
      <c r="P48" s="39" t="s">
        <v>12</v>
      </c>
      <c r="Q48" s="43">
        <v>4.02214991993525</v>
      </c>
      <c r="R48" s="43">
        <v>0.503225088705705</v>
      </c>
      <c r="S48" s="39">
        <f t="shared" si="3"/>
        <v>7.99274521522808</v>
      </c>
      <c r="T48" s="39" t="s">
        <v>13</v>
      </c>
      <c r="U48" s="43">
        <v>-4.17332878450717</v>
      </c>
      <c r="V48" s="43">
        <v>7.33154003535006</v>
      </c>
      <c r="W48" s="39">
        <f t="shared" si="4"/>
        <v>-0.569229488536498</v>
      </c>
      <c r="X48" s="39" t="s">
        <v>13</v>
      </c>
      <c r="Y48" s="51">
        <v>0.06468258</v>
      </c>
      <c r="Z48" s="39">
        <v>4.59589188539311</v>
      </c>
      <c r="AA48" s="39">
        <f>Y48/Z48</f>
        <v>0.0140739994788775</v>
      </c>
    </row>
    <row r="49" spans="1:27">
      <c r="A49" s="37" t="s">
        <v>30</v>
      </c>
      <c r="B49" s="39"/>
      <c r="C49" s="36" t="s">
        <v>15</v>
      </c>
      <c r="D49" s="36" t="s">
        <v>9</v>
      </c>
      <c r="E49" s="43">
        <v>-0.866647160059791</v>
      </c>
      <c r="F49" s="43">
        <v>21.8857302807714</v>
      </c>
      <c r="G49" s="36">
        <f t="shared" si="0"/>
        <v>-0.0395987316366235</v>
      </c>
      <c r="H49" s="36" t="s">
        <v>10</v>
      </c>
      <c r="I49" s="43">
        <v>7.02687634283246</v>
      </c>
      <c r="J49" s="43">
        <v>60.1744180837337</v>
      </c>
      <c r="K49" s="36">
        <f t="shared" si="1"/>
        <v>0.116775144099515</v>
      </c>
      <c r="L49" s="36" t="s">
        <v>11</v>
      </c>
      <c r="M49" s="43">
        <v>-0.355129248257701</v>
      </c>
      <c r="N49" s="43">
        <v>0.346539624952296</v>
      </c>
      <c r="O49" s="36">
        <f t="shared" si="2"/>
        <v>-1.02478684308205</v>
      </c>
      <c r="P49" s="39" t="s">
        <v>12</v>
      </c>
      <c r="Q49" s="43">
        <v>6.47226644486972</v>
      </c>
      <c r="R49" s="43">
        <v>0.445766463659083</v>
      </c>
      <c r="S49" s="39">
        <f t="shared" si="3"/>
        <v>14.519410885561</v>
      </c>
      <c r="T49" s="39" t="s">
        <v>13</v>
      </c>
      <c r="U49" s="43">
        <v>1.37555548497709</v>
      </c>
      <c r="V49" s="43">
        <v>7.33154003535006</v>
      </c>
      <c r="W49" s="39">
        <f t="shared" si="4"/>
        <v>0.18762162906356</v>
      </c>
      <c r="X49" s="39" t="s">
        <v>13</v>
      </c>
      <c r="Y49" s="51">
        <v>2.19265123</v>
      </c>
      <c r="Z49" s="39">
        <v>4.59589188539311</v>
      </c>
      <c r="AA49" s="39">
        <f>Y49/Z49</f>
        <v>0.477089384319242</v>
      </c>
    </row>
    <row r="50" spans="1:27">
      <c r="A50" s="37" t="s">
        <v>31</v>
      </c>
      <c r="B50" s="39"/>
      <c r="C50" s="36" t="s">
        <v>8</v>
      </c>
      <c r="D50" s="36" t="s">
        <v>9</v>
      </c>
      <c r="E50" s="43">
        <v>-6.65757053489268</v>
      </c>
      <c r="F50" s="43">
        <v>24.1346456080285</v>
      </c>
      <c r="G50" s="36">
        <f t="shared" si="0"/>
        <v>-0.275851182694724</v>
      </c>
      <c r="H50" s="36" t="s">
        <v>10</v>
      </c>
      <c r="I50" s="43">
        <v>-0.43525102683325</v>
      </c>
      <c r="J50" s="43">
        <v>26.7775782740869</v>
      </c>
      <c r="K50" s="36">
        <f t="shared" si="1"/>
        <v>-0.0162543088242767</v>
      </c>
      <c r="L50" s="36" t="s">
        <v>11</v>
      </c>
      <c r="M50" s="43">
        <v>0.864532999639591</v>
      </c>
      <c r="N50" s="43">
        <v>0.332712626710664</v>
      </c>
      <c r="O50" s="36">
        <f t="shared" si="2"/>
        <v>2.59843760120175</v>
      </c>
      <c r="P50" s="39" t="s">
        <v>12</v>
      </c>
      <c r="Q50" s="43">
        <v>4.68625296925839</v>
      </c>
      <c r="R50" s="43">
        <v>0.656868046798288</v>
      </c>
      <c r="S50" s="39">
        <f t="shared" si="3"/>
        <v>7.13423798295588</v>
      </c>
      <c r="T50" s="39" t="s">
        <v>13</v>
      </c>
      <c r="U50" s="43">
        <v>3.42063114432197</v>
      </c>
      <c r="V50" s="43">
        <v>7.33154003535006</v>
      </c>
      <c r="W50" s="39">
        <f t="shared" si="4"/>
        <v>0.466563795304794</v>
      </c>
      <c r="X50" s="39" t="s">
        <v>13</v>
      </c>
      <c r="Y50" s="51">
        <v>0.32568443</v>
      </c>
      <c r="Z50" s="39">
        <v>8.77179824462718</v>
      </c>
      <c r="AA50" s="39">
        <f>Y50/Z50</f>
        <v>0.0371285819529063</v>
      </c>
    </row>
    <row r="51" spans="1:27">
      <c r="A51" s="37" t="s">
        <v>31</v>
      </c>
      <c r="B51" s="39"/>
      <c r="C51" s="36" t="s">
        <v>14</v>
      </c>
      <c r="D51" s="36" t="s">
        <v>9</v>
      </c>
      <c r="E51" s="43">
        <v>-1.56890488001303</v>
      </c>
      <c r="F51" s="43">
        <v>31.4792268059584</v>
      </c>
      <c r="G51" s="36">
        <f t="shared" si="0"/>
        <v>-0.0498393715221769</v>
      </c>
      <c r="H51" s="36" t="s">
        <v>10</v>
      </c>
      <c r="I51" s="43">
        <v>-6.33762684997991</v>
      </c>
      <c r="J51" s="43">
        <v>44.6273180327129</v>
      </c>
      <c r="K51" s="36">
        <f t="shared" si="1"/>
        <v>-0.142012272512865</v>
      </c>
      <c r="L51" s="36" t="s">
        <v>11</v>
      </c>
      <c r="M51" s="43">
        <v>9.13717910438532</v>
      </c>
      <c r="N51" s="43">
        <v>0.59356181954269</v>
      </c>
      <c r="O51" s="36">
        <f t="shared" si="2"/>
        <v>15.3938120740735</v>
      </c>
      <c r="P51" s="39" t="s">
        <v>12</v>
      </c>
      <c r="Q51" s="43">
        <v>-9.69648530745545</v>
      </c>
      <c r="R51" s="43">
        <v>0.503225088705705</v>
      </c>
      <c r="S51" s="39">
        <f t="shared" si="3"/>
        <v>-19.2686841834433</v>
      </c>
      <c r="T51" s="39" t="s">
        <v>13</v>
      </c>
      <c r="U51" s="43">
        <v>3.42063114432197</v>
      </c>
      <c r="V51" s="43">
        <v>7.33154003535006</v>
      </c>
      <c r="W51" s="39">
        <f t="shared" si="4"/>
        <v>0.466563795304794</v>
      </c>
      <c r="X51" s="39" t="s">
        <v>13</v>
      </c>
      <c r="Y51" s="51">
        <v>0.50629815</v>
      </c>
      <c r="Z51" s="39">
        <v>8.77179824462718</v>
      </c>
      <c r="AA51" s="39">
        <f>Y51/Z51</f>
        <v>0.0577188548893168</v>
      </c>
    </row>
    <row r="52" spans="1:27">
      <c r="A52" s="37" t="s">
        <v>31</v>
      </c>
      <c r="B52" s="39"/>
      <c r="C52" s="36" t="s">
        <v>15</v>
      </c>
      <c r="D52" s="36" t="s">
        <v>9</v>
      </c>
      <c r="E52" s="43">
        <v>-7.23858211297265</v>
      </c>
      <c r="F52" s="43">
        <v>21.8857302807714</v>
      </c>
      <c r="G52" s="36">
        <f t="shared" si="0"/>
        <v>-0.330744371794274</v>
      </c>
      <c r="H52" s="36" t="s">
        <v>10</v>
      </c>
      <c r="I52" s="43">
        <v>-3.83123150819424</v>
      </c>
      <c r="J52" s="43">
        <v>60.1744180837337</v>
      </c>
      <c r="K52" s="36">
        <f t="shared" si="1"/>
        <v>-0.0636687753733325</v>
      </c>
      <c r="L52" s="36" t="s">
        <v>11</v>
      </c>
      <c r="M52" s="43">
        <v>2.55753099810748</v>
      </c>
      <c r="N52" s="43">
        <v>0.346539624952296</v>
      </c>
      <c r="O52" s="36">
        <f t="shared" si="2"/>
        <v>7.3801978589304</v>
      </c>
      <c r="P52" s="39" t="s">
        <v>12</v>
      </c>
      <c r="Q52" s="43">
        <v>0.97044784134282</v>
      </c>
      <c r="R52" s="43">
        <v>0.445766463659083</v>
      </c>
      <c r="S52" s="39">
        <f t="shared" si="3"/>
        <v>2.17703196731508</v>
      </c>
      <c r="T52" s="39" t="s">
        <v>13</v>
      </c>
      <c r="U52" s="43">
        <v>1.02722602950451</v>
      </c>
      <c r="V52" s="43">
        <v>7.33154003535006</v>
      </c>
      <c r="W52" s="39">
        <f t="shared" si="4"/>
        <v>0.140110539470779</v>
      </c>
      <c r="X52" s="39" t="s">
        <v>13</v>
      </c>
      <c r="Y52" s="51">
        <v>0.78734137</v>
      </c>
      <c r="Z52" s="39">
        <v>8.77179824462718</v>
      </c>
      <c r="AA52" s="39">
        <f>Y52/Z52</f>
        <v>0.0897582625640364</v>
      </c>
    </row>
    <row r="53" spans="1:27">
      <c r="A53" s="37" t="s">
        <v>32</v>
      </c>
      <c r="B53" s="39"/>
      <c r="C53" s="36" t="s">
        <v>8</v>
      </c>
      <c r="D53" s="36" t="s">
        <v>9</v>
      </c>
      <c r="E53" s="43">
        <v>-3.23780461193466</v>
      </c>
      <c r="F53" s="43">
        <v>24.1346456080285</v>
      </c>
      <c r="G53" s="36">
        <f t="shared" si="0"/>
        <v>-0.134155879664443</v>
      </c>
      <c r="H53" s="36" t="s">
        <v>10</v>
      </c>
      <c r="I53" s="43">
        <v>-0.572799267242067</v>
      </c>
      <c r="J53" s="43">
        <v>26.7775782740869</v>
      </c>
      <c r="K53" s="36">
        <f t="shared" si="1"/>
        <v>-0.021391003375252</v>
      </c>
      <c r="L53" s="36" t="s">
        <v>11</v>
      </c>
      <c r="M53" s="43">
        <v>1.57368480012437</v>
      </c>
      <c r="N53" s="43">
        <v>0.332712626710664</v>
      </c>
      <c r="O53" s="36">
        <f t="shared" si="2"/>
        <v>4.72986197032098</v>
      </c>
      <c r="P53" s="39" t="s">
        <v>12</v>
      </c>
      <c r="Q53" s="43">
        <v>2.5619004590393</v>
      </c>
      <c r="R53" s="43">
        <v>0.656868046798288</v>
      </c>
      <c r="S53" s="39">
        <f t="shared" si="3"/>
        <v>3.9001751897151</v>
      </c>
      <c r="T53" s="39" t="s">
        <v>13</v>
      </c>
      <c r="U53" s="43">
        <v>2.67068499446236</v>
      </c>
      <c r="V53" s="43">
        <v>7.33154003535006</v>
      </c>
      <c r="W53" s="39">
        <f t="shared" si="4"/>
        <v>0.364273397074185</v>
      </c>
      <c r="X53" s="39" t="s">
        <v>13</v>
      </c>
      <c r="Y53" s="51">
        <v>1.77331009</v>
      </c>
      <c r="Z53" s="39">
        <v>2.59058123036339</v>
      </c>
      <c r="AA53" s="39">
        <f>Y53/Z53</f>
        <v>0.684522094584639</v>
      </c>
    </row>
    <row r="54" spans="1:27">
      <c r="A54" s="37" t="s">
        <v>32</v>
      </c>
      <c r="B54" s="39"/>
      <c r="C54" s="36" t="s">
        <v>14</v>
      </c>
      <c r="D54" s="36" t="s">
        <v>9</v>
      </c>
      <c r="E54" s="43">
        <v>0.182237824223607</v>
      </c>
      <c r="F54" s="43">
        <v>31.4792268059584</v>
      </c>
      <c r="G54" s="36">
        <f t="shared" si="0"/>
        <v>0.00578914550052141</v>
      </c>
      <c r="H54" s="36" t="s">
        <v>10</v>
      </c>
      <c r="I54" s="43">
        <v>-2.48236284372339</v>
      </c>
      <c r="J54" s="43">
        <v>44.6273180327129</v>
      </c>
      <c r="K54" s="36">
        <f t="shared" si="1"/>
        <v>-0.0556242891832254</v>
      </c>
      <c r="L54" s="36" t="s">
        <v>11</v>
      </c>
      <c r="M54" s="43">
        <v>2.27771888955448</v>
      </c>
      <c r="N54" s="43">
        <v>0.59356181954269</v>
      </c>
      <c r="O54" s="36">
        <f t="shared" si="2"/>
        <v>3.83737432995496</v>
      </c>
      <c r="P54" s="39" t="s">
        <v>12</v>
      </c>
      <c r="Q54" s="43">
        <v>-4.25707673092012</v>
      </c>
      <c r="R54" s="43">
        <v>0.503225088705705</v>
      </c>
      <c r="S54" s="39">
        <f t="shared" si="3"/>
        <v>-8.45958762085833</v>
      </c>
      <c r="T54" s="39" t="s">
        <v>13</v>
      </c>
      <c r="U54" s="43">
        <v>2.67068499446236</v>
      </c>
      <c r="V54" s="43">
        <v>7.33154003535006</v>
      </c>
      <c r="W54" s="39">
        <f t="shared" si="4"/>
        <v>0.364273397074185</v>
      </c>
      <c r="X54" s="39" t="s">
        <v>13</v>
      </c>
      <c r="Y54" s="51">
        <v>1.17823874</v>
      </c>
      <c r="Z54" s="39">
        <v>2.59058123036339</v>
      </c>
      <c r="AA54" s="39">
        <f>Y54/Z54</f>
        <v>0.454816365605615</v>
      </c>
    </row>
    <row r="55" spans="1:27">
      <c r="A55" s="37" t="s">
        <v>32</v>
      </c>
      <c r="B55" s="39"/>
      <c r="C55" s="36" t="s">
        <v>15</v>
      </c>
      <c r="D55" s="36" t="s">
        <v>9</v>
      </c>
      <c r="E55" s="43">
        <v>0.369114771405599</v>
      </c>
      <c r="F55" s="43">
        <v>21.8857302807714</v>
      </c>
      <c r="G55" s="36">
        <f t="shared" si="0"/>
        <v>0.0168655451141103</v>
      </c>
      <c r="H55" s="36" t="s">
        <v>10</v>
      </c>
      <c r="I55" s="43">
        <v>-1.46864610845147</v>
      </c>
      <c r="J55" s="43">
        <v>60.1744180837337</v>
      </c>
      <c r="K55" s="36">
        <f t="shared" si="1"/>
        <v>-0.0244064862647749</v>
      </c>
      <c r="L55" s="36" t="s">
        <v>11</v>
      </c>
      <c r="M55" s="43">
        <v>-0.232314800206881</v>
      </c>
      <c r="N55" s="43">
        <v>0.346539624952296</v>
      </c>
      <c r="O55" s="36">
        <f t="shared" si="2"/>
        <v>-0.670384520208507</v>
      </c>
      <c r="P55" s="39" t="s">
        <v>12</v>
      </c>
      <c r="Q55" s="43">
        <v>-1.5215950245649</v>
      </c>
      <c r="R55" s="43">
        <v>0.445766463659083</v>
      </c>
      <c r="S55" s="39">
        <f t="shared" si="3"/>
        <v>-3.41343539411838</v>
      </c>
      <c r="T55" s="39" t="s">
        <v>13</v>
      </c>
      <c r="U55" s="43">
        <v>0.455576191863234</v>
      </c>
      <c r="V55" s="43">
        <v>7.33154003535006</v>
      </c>
      <c r="W55" s="39">
        <f t="shared" si="4"/>
        <v>0.062139221727851</v>
      </c>
      <c r="X55" s="39" t="s">
        <v>13</v>
      </c>
      <c r="Y55" s="51">
        <v>0.52213275</v>
      </c>
      <c r="Z55" s="39">
        <v>2.59058123036339</v>
      </c>
      <c r="AA55" s="39">
        <f>Y55/Z55</f>
        <v>0.201550425780997</v>
      </c>
    </row>
    <row r="56" spans="1:27">
      <c r="A56" s="37" t="s">
        <v>33</v>
      </c>
      <c r="B56" s="39"/>
      <c r="C56" s="36" t="s">
        <v>8</v>
      </c>
      <c r="D56" s="36" t="s">
        <v>9</v>
      </c>
      <c r="E56" s="43">
        <v>4.28092065178451</v>
      </c>
      <c r="F56" s="43">
        <v>24.1346456080285</v>
      </c>
      <c r="G56" s="36">
        <f t="shared" si="0"/>
        <v>0.177376569820459</v>
      </c>
      <c r="H56" s="36" t="s">
        <v>10</v>
      </c>
      <c r="I56" s="43">
        <v>0.595163878916845</v>
      </c>
      <c r="J56" s="43">
        <v>26.7775782740869</v>
      </c>
      <c r="K56" s="36">
        <f t="shared" si="1"/>
        <v>0.0222262025648822</v>
      </c>
      <c r="L56" s="36" t="s">
        <v>11</v>
      </c>
      <c r="M56" s="43">
        <v>-8.85834652919265</v>
      </c>
      <c r="N56" s="43">
        <v>0.332712626710664</v>
      </c>
      <c r="O56" s="36">
        <f t="shared" si="2"/>
        <v>-26.6246178173938</v>
      </c>
      <c r="P56" s="39" t="s">
        <v>12</v>
      </c>
      <c r="Q56" s="43">
        <v>-1.97809038848207</v>
      </c>
      <c r="R56" s="43">
        <v>0.656868046798288</v>
      </c>
      <c r="S56" s="39">
        <f t="shared" si="3"/>
        <v>-3.01139688271289</v>
      </c>
      <c r="T56" s="39" t="s">
        <v>13</v>
      </c>
      <c r="U56" s="43">
        <v>1.25995978177673</v>
      </c>
      <c r="V56" s="43">
        <v>7.33154003535006</v>
      </c>
      <c r="W56" s="39">
        <f t="shared" si="4"/>
        <v>0.171854722977936</v>
      </c>
      <c r="X56" s="39" t="s">
        <v>13</v>
      </c>
      <c r="Y56" s="51">
        <v>1.83079977</v>
      </c>
      <c r="Z56" s="39">
        <v>8.71078514129339</v>
      </c>
      <c r="AA56" s="39">
        <f>Y56/Z56</f>
        <v>0.21017620573846</v>
      </c>
    </row>
    <row r="57" spans="1:27">
      <c r="A57" s="37" t="s">
        <v>33</v>
      </c>
      <c r="B57" s="39"/>
      <c r="C57" s="36" t="s">
        <v>14</v>
      </c>
      <c r="D57" s="36" t="s">
        <v>9</v>
      </c>
      <c r="E57" s="43">
        <v>1.97310009813086</v>
      </c>
      <c r="F57" s="43">
        <v>31.4792268059584</v>
      </c>
      <c r="G57" s="36">
        <f t="shared" si="0"/>
        <v>0.0626794333384768</v>
      </c>
      <c r="H57" s="36" t="s">
        <v>10</v>
      </c>
      <c r="I57" s="43">
        <v>-7.69844434122895</v>
      </c>
      <c r="J57" s="43">
        <v>44.6273180327129</v>
      </c>
      <c r="K57" s="36">
        <f t="shared" si="1"/>
        <v>-0.172505198174486</v>
      </c>
      <c r="L57" s="36" t="s">
        <v>11</v>
      </c>
      <c r="M57" s="43">
        <v>-3.37763704515533</v>
      </c>
      <c r="N57" s="43">
        <v>0.59356181954269</v>
      </c>
      <c r="O57" s="36">
        <f t="shared" si="2"/>
        <v>-5.69045537288371</v>
      </c>
      <c r="P57" s="39" t="s">
        <v>12</v>
      </c>
      <c r="Q57" s="43">
        <v>-4.78625731111509</v>
      </c>
      <c r="R57" s="43">
        <v>0.503225088705705</v>
      </c>
      <c r="S57" s="39">
        <f t="shared" si="3"/>
        <v>-9.51116591469107</v>
      </c>
      <c r="T57" s="39" t="s">
        <v>13</v>
      </c>
      <c r="U57" s="43">
        <v>1.25995978177673</v>
      </c>
      <c r="V57" s="43">
        <v>7.33154003535006</v>
      </c>
      <c r="W57" s="39">
        <f t="shared" si="4"/>
        <v>0.171854722977936</v>
      </c>
      <c r="X57" s="39" t="s">
        <v>13</v>
      </c>
      <c r="Y57" s="51">
        <v>6.31187871</v>
      </c>
      <c r="Z57" s="39">
        <v>8.71078514129339</v>
      </c>
      <c r="AA57" s="39">
        <f>Y57/Z57</f>
        <v>0.72460502786122</v>
      </c>
    </row>
    <row r="58" spans="1:27">
      <c r="A58" s="37" t="s">
        <v>33</v>
      </c>
      <c r="B58" s="39"/>
      <c r="C58" s="36" t="s">
        <v>15</v>
      </c>
      <c r="D58" s="36" t="s">
        <v>9</v>
      </c>
      <c r="E58" s="43">
        <v>2.11229402165468</v>
      </c>
      <c r="F58" s="43">
        <v>21.8857302807714</v>
      </c>
      <c r="G58" s="36">
        <f t="shared" si="0"/>
        <v>0.0965146693556085</v>
      </c>
      <c r="H58" s="36" t="s">
        <v>10</v>
      </c>
      <c r="I58" s="43">
        <v>-1.27902893409876</v>
      </c>
      <c r="J58" s="43">
        <v>60.1744180837337</v>
      </c>
      <c r="K58" s="36">
        <f t="shared" si="1"/>
        <v>-0.0212553602482532</v>
      </c>
      <c r="L58" s="36" t="s">
        <v>11</v>
      </c>
      <c r="M58" s="43">
        <v>-5.41839653994765</v>
      </c>
      <c r="N58" s="43">
        <v>0.346539624952296</v>
      </c>
      <c r="O58" s="36">
        <f t="shared" si="2"/>
        <v>-15.6357199864043</v>
      </c>
      <c r="P58" s="39" t="s">
        <v>12</v>
      </c>
      <c r="Q58" s="56">
        <v>5.49045248781657</v>
      </c>
      <c r="R58" s="43">
        <v>0.445766463659083</v>
      </c>
      <c r="S58" s="39">
        <f t="shared" si="3"/>
        <v>12.3168810025503</v>
      </c>
      <c r="T58" s="39" t="s">
        <v>13</v>
      </c>
      <c r="U58" s="43">
        <v>3.22974421229751</v>
      </c>
      <c r="V58" s="43">
        <v>7.33154003535006</v>
      </c>
      <c r="W58" s="39">
        <f t="shared" si="4"/>
        <v>0.440527392161107</v>
      </c>
      <c r="X58" s="39" t="s">
        <v>13</v>
      </c>
      <c r="Y58" s="51">
        <v>3.22116036</v>
      </c>
      <c r="Z58" s="39">
        <v>8.71078514129339</v>
      </c>
      <c r="AA58" s="39">
        <f>Y58/Z58</f>
        <v>0.36978989927442</v>
      </c>
    </row>
    <row r="59" spans="1:27">
      <c r="A59" s="53" t="s">
        <v>34</v>
      </c>
      <c r="B59" s="54"/>
      <c r="C59" s="48" t="s">
        <v>8</v>
      </c>
      <c r="D59" s="48" t="s">
        <v>9</v>
      </c>
      <c r="E59" s="43">
        <v>6.24761432845302</v>
      </c>
      <c r="F59" s="43">
        <v>24.1346456080285</v>
      </c>
      <c r="G59" s="48">
        <f t="shared" si="0"/>
        <v>0.258864970711429</v>
      </c>
      <c r="H59" s="48" t="s">
        <v>10</v>
      </c>
      <c r="I59" s="43">
        <v>-7.8268188240383</v>
      </c>
      <c r="J59" s="55">
        <v>26.7775782740869</v>
      </c>
      <c r="K59" s="48">
        <f t="shared" si="1"/>
        <v>-0.292290017563405</v>
      </c>
      <c r="L59" s="36" t="s">
        <v>11</v>
      </c>
      <c r="M59" s="43">
        <v>-7.31879808482142</v>
      </c>
      <c r="N59" s="43">
        <v>0.332712626710664</v>
      </c>
      <c r="O59" s="48">
        <f t="shared" si="2"/>
        <v>-21.997355968056</v>
      </c>
      <c r="P59" s="54" t="s">
        <v>12</v>
      </c>
      <c r="Q59" s="43">
        <v>-9.76620261385355</v>
      </c>
      <c r="R59" s="55">
        <v>0.656868046798288</v>
      </c>
      <c r="S59" s="54">
        <f t="shared" si="3"/>
        <v>-14.8678302460533</v>
      </c>
      <c r="T59" s="54" t="s">
        <v>13</v>
      </c>
      <c r="U59" s="43">
        <v>-5.50561901910063</v>
      </c>
      <c r="V59" s="55">
        <v>7.33154003535006</v>
      </c>
      <c r="W59" s="54">
        <f t="shared" si="4"/>
        <v>-0.750949867634154</v>
      </c>
      <c r="X59" s="39" t="s">
        <v>13</v>
      </c>
      <c r="Y59" s="51">
        <v>-0.27581217</v>
      </c>
      <c r="Z59" s="39">
        <v>5.056349144063</v>
      </c>
      <c r="AA59" s="39">
        <f>Y59/Z59</f>
        <v>-0.0545476908618642</v>
      </c>
    </row>
    <row r="60" spans="1:27">
      <c r="A60" s="53" t="s">
        <v>34</v>
      </c>
      <c r="B60" s="54"/>
      <c r="C60" s="48" t="s">
        <v>14</v>
      </c>
      <c r="D60" s="48" t="s">
        <v>9</v>
      </c>
      <c r="E60" s="43">
        <v>-3.65984443763366</v>
      </c>
      <c r="F60" s="43">
        <v>31.4792268059584</v>
      </c>
      <c r="G60" s="48">
        <f t="shared" si="0"/>
        <v>-0.116262208731916</v>
      </c>
      <c r="H60" s="48" t="s">
        <v>10</v>
      </c>
      <c r="I60" s="43">
        <v>-0.943721437850859</v>
      </c>
      <c r="J60" s="55">
        <v>44.6273180327129</v>
      </c>
      <c r="K60" s="48">
        <f t="shared" si="1"/>
        <v>-0.0211467208752964</v>
      </c>
      <c r="L60" s="36" t="s">
        <v>11</v>
      </c>
      <c r="M60" s="43">
        <v>-2.84171875522877</v>
      </c>
      <c r="N60" s="43">
        <v>0.59356181954269</v>
      </c>
      <c r="O60" s="48">
        <f t="shared" si="2"/>
        <v>-4.78756999130802</v>
      </c>
      <c r="P60" s="54" t="s">
        <v>12</v>
      </c>
      <c r="Q60" s="43">
        <v>0.837266292236999</v>
      </c>
      <c r="R60" s="55">
        <v>0.503225088705705</v>
      </c>
      <c r="S60" s="54">
        <f t="shared" si="3"/>
        <v>1.66380077430251</v>
      </c>
      <c r="T60" s="54" t="s">
        <v>13</v>
      </c>
      <c r="U60" s="43">
        <v>-5.50561901910063</v>
      </c>
      <c r="V60" s="55">
        <v>7.33154003535006</v>
      </c>
      <c r="W60" s="54">
        <f t="shared" si="4"/>
        <v>-0.750949867634154</v>
      </c>
      <c r="X60" s="39" t="s">
        <v>13</v>
      </c>
      <c r="Y60" s="51">
        <v>1.16088342</v>
      </c>
      <c r="Z60" s="39">
        <v>5.056349144063</v>
      </c>
      <c r="AA60" s="39">
        <f>Y60/Z60</f>
        <v>0.229589252427924</v>
      </c>
    </row>
    <row r="61" spans="1:27">
      <c r="A61" s="37" t="s">
        <v>34</v>
      </c>
      <c r="B61" s="39"/>
      <c r="C61" s="36" t="s">
        <v>15</v>
      </c>
      <c r="D61" s="36" t="s">
        <v>9</v>
      </c>
      <c r="E61" s="43">
        <v>-0.587552046406467</v>
      </c>
      <c r="F61" s="43">
        <v>21.8857302807714</v>
      </c>
      <c r="G61" s="36">
        <f t="shared" si="0"/>
        <v>-0.0268463532570665</v>
      </c>
      <c r="H61" s="36" t="s">
        <v>10</v>
      </c>
      <c r="I61" s="43">
        <v>2.19091967996872</v>
      </c>
      <c r="J61" s="43">
        <v>60.1744180837337</v>
      </c>
      <c r="K61" s="36">
        <f t="shared" si="1"/>
        <v>0.0364094867842348</v>
      </c>
      <c r="L61" s="36" t="s">
        <v>11</v>
      </c>
      <c r="M61" s="43">
        <v>-1.70772169149646</v>
      </c>
      <c r="N61" s="43">
        <v>0.346539624952296</v>
      </c>
      <c r="O61" s="36">
        <f t="shared" si="2"/>
        <v>-4.92792618371288</v>
      </c>
      <c r="P61" s="39" t="s">
        <v>12</v>
      </c>
      <c r="Q61" s="43">
        <v>5.74500162906487</v>
      </c>
      <c r="R61" s="43">
        <v>0.445766463659083</v>
      </c>
      <c r="S61" s="39">
        <f t="shared" si="3"/>
        <v>12.8879179961339</v>
      </c>
      <c r="T61" s="39" t="s">
        <v>13</v>
      </c>
      <c r="U61" s="43">
        <v>1.54065060392544</v>
      </c>
      <c r="V61" s="43">
        <v>7.33154003535006</v>
      </c>
      <c r="W61" s="39">
        <f t="shared" si="4"/>
        <v>0.210140106511998</v>
      </c>
      <c r="X61" s="39" t="s">
        <v>13</v>
      </c>
      <c r="Y61" s="51">
        <v>0.65110893</v>
      </c>
      <c r="Z61" s="39">
        <v>5.056349144063</v>
      </c>
      <c r="AA61" s="39">
        <f>Y61/Z61</f>
        <v>0.128770563789985</v>
      </c>
    </row>
    <row r="62" spans="1:27">
      <c r="A62" s="37" t="s">
        <v>35</v>
      </c>
      <c r="B62" s="39"/>
      <c r="C62" s="36" t="s">
        <v>8</v>
      </c>
      <c r="D62" s="36" t="s">
        <v>9</v>
      </c>
      <c r="E62" s="43">
        <v>1.61956220813147</v>
      </c>
      <c r="F62" s="43">
        <v>24.1346456080285</v>
      </c>
      <c r="G62" s="36">
        <f t="shared" si="0"/>
        <v>0.0671052823577702</v>
      </c>
      <c r="H62" s="36" t="s">
        <v>10</v>
      </c>
      <c r="I62" s="43">
        <v>-2.05031916738487</v>
      </c>
      <c r="J62" s="43">
        <v>26.7775782740869</v>
      </c>
      <c r="K62" s="36">
        <f t="shared" si="1"/>
        <v>-0.0765685061732785</v>
      </c>
      <c r="L62" s="36" t="s">
        <v>11</v>
      </c>
      <c r="M62" s="43">
        <v>-2.79296438385623</v>
      </c>
      <c r="N62" s="43">
        <v>0.332712626710664</v>
      </c>
      <c r="O62" s="36">
        <f t="shared" si="2"/>
        <v>-8.39452476291219</v>
      </c>
      <c r="P62" s="39" t="s">
        <v>12</v>
      </c>
      <c r="Q62" s="43">
        <v>-1.99436113500872</v>
      </c>
      <c r="R62" s="43">
        <v>0.656868046798288</v>
      </c>
      <c r="S62" s="39">
        <f t="shared" si="3"/>
        <v>-3.03616707302121</v>
      </c>
      <c r="T62" s="39" t="s">
        <v>13</v>
      </c>
      <c r="U62" s="43">
        <v>-0.761999852807407</v>
      </c>
      <c r="V62" s="43">
        <v>7.33154003535006</v>
      </c>
      <c r="W62" s="39">
        <f t="shared" si="4"/>
        <v>-0.103934487042738</v>
      </c>
      <c r="X62" s="39" t="s">
        <v>13</v>
      </c>
      <c r="Y62" s="51">
        <v>-0.41617513</v>
      </c>
      <c r="Z62" s="39">
        <v>3.65908306668336</v>
      </c>
      <c r="AA62" s="39">
        <f>Y62/Z62</f>
        <v>-0.113737546378587</v>
      </c>
    </row>
    <row r="63" spans="1:27">
      <c r="A63" s="37" t="s">
        <v>35</v>
      </c>
      <c r="B63" s="39"/>
      <c r="C63" s="36" t="s">
        <v>14</v>
      </c>
      <c r="D63" s="36" t="s">
        <v>9</v>
      </c>
      <c r="E63" s="43">
        <v>0.244608016891921</v>
      </c>
      <c r="F63" s="43">
        <v>31.4792268059584</v>
      </c>
      <c r="G63" s="36">
        <f t="shared" si="0"/>
        <v>0.00777045822629994</v>
      </c>
      <c r="H63" s="36" t="s">
        <v>10</v>
      </c>
      <c r="I63" s="43">
        <v>1.28914368473974</v>
      </c>
      <c r="J63" s="43">
        <v>44.6273180327129</v>
      </c>
      <c r="K63" s="36">
        <f t="shared" si="1"/>
        <v>0.0288868733674465</v>
      </c>
      <c r="L63" s="36" t="s">
        <v>11</v>
      </c>
      <c r="M63" s="43">
        <v>1.39523280486383</v>
      </c>
      <c r="N63" s="43">
        <v>0.59356181954269</v>
      </c>
      <c r="O63" s="36">
        <f t="shared" si="2"/>
        <v>2.35061076862859</v>
      </c>
      <c r="P63" s="39" t="s">
        <v>12</v>
      </c>
      <c r="Q63" s="43">
        <v>1.38995661889397</v>
      </c>
      <c r="R63" s="43">
        <v>0.503225088705705</v>
      </c>
      <c r="S63" s="39">
        <f t="shared" si="3"/>
        <v>2.76209722068695</v>
      </c>
      <c r="T63" s="39" t="s">
        <v>13</v>
      </c>
      <c r="U63" s="43">
        <v>-0.761999852807407</v>
      </c>
      <c r="V63" s="43">
        <v>7.33154003535006</v>
      </c>
      <c r="W63" s="39">
        <f t="shared" si="4"/>
        <v>-0.103934487042738</v>
      </c>
      <c r="X63" s="39" t="s">
        <v>13</v>
      </c>
      <c r="Y63" s="51">
        <v>0.32099583</v>
      </c>
      <c r="Z63" s="39">
        <v>3.65908306668336</v>
      </c>
      <c r="AA63" s="39">
        <f>Y63/Z63</f>
        <v>0.087725756466894</v>
      </c>
    </row>
    <row r="64" spans="1:27">
      <c r="A64" s="37" t="s">
        <v>35</v>
      </c>
      <c r="B64" s="39"/>
      <c r="C64" s="36" t="s">
        <v>15</v>
      </c>
      <c r="D64" s="36" t="s">
        <v>9</v>
      </c>
      <c r="E64" s="43">
        <v>2.00817498712005</v>
      </c>
      <c r="F64" s="43">
        <v>21.8857302807714</v>
      </c>
      <c r="G64" s="36">
        <f t="shared" si="0"/>
        <v>0.0917572756932134</v>
      </c>
      <c r="H64" s="36" t="s">
        <v>10</v>
      </c>
      <c r="I64" s="43">
        <v>-2.70949417517691</v>
      </c>
      <c r="J64" s="43">
        <v>60.1744180837337</v>
      </c>
      <c r="K64" s="36">
        <f t="shared" si="1"/>
        <v>-0.0450273432043265</v>
      </c>
      <c r="L64" s="36" t="s">
        <v>11</v>
      </c>
      <c r="M64" s="43">
        <v>0.489087836211613</v>
      </c>
      <c r="N64" s="43">
        <v>0.346539624952296</v>
      </c>
      <c r="O64" s="36">
        <f t="shared" si="2"/>
        <v>1.41134750832301</v>
      </c>
      <c r="P64" s="39" t="s">
        <v>12</v>
      </c>
      <c r="Q64" s="43">
        <v>-2.1625319740219</v>
      </c>
      <c r="R64" s="43">
        <v>0.445766463659083</v>
      </c>
      <c r="S64" s="39">
        <f t="shared" si="3"/>
        <v>-4.85126663919648</v>
      </c>
      <c r="T64" s="39" t="s">
        <v>13</v>
      </c>
      <c r="U64" s="43">
        <v>0.296098433421646</v>
      </c>
      <c r="V64" s="43">
        <v>7.33154003535006</v>
      </c>
      <c r="W64" s="39">
        <f t="shared" si="4"/>
        <v>0.0403869353497308</v>
      </c>
      <c r="X64" s="39" t="s">
        <v>13</v>
      </c>
      <c r="Y64" s="51">
        <v>-0.31637218</v>
      </c>
      <c r="Z64" s="39">
        <v>3.65908306668336</v>
      </c>
      <c r="AA64" s="39">
        <f>Y64/Z64</f>
        <v>-0.086462147547463</v>
      </c>
    </row>
    <row r="65" spans="1:27">
      <c r="A65" s="39" t="s">
        <v>36</v>
      </c>
      <c r="B65" s="39"/>
      <c r="C65" s="36" t="s">
        <v>8</v>
      </c>
      <c r="D65" s="36" t="s">
        <v>9</v>
      </c>
      <c r="E65" s="43">
        <v>0.601737487325638</v>
      </c>
      <c r="F65" s="43">
        <v>1.26930722515591</v>
      </c>
      <c r="G65" s="36">
        <f t="shared" si="0"/>
        <v>0.474067645247766</v>
      </c>
      <c r="H65" s="36" t="s">
        <v>10</v>
      </c>
      <c r="I65" s="43">
        <v>4.59678173386325</v>
      </c>
      <c r="J65" s="43">
        <v>39.0159431799645</v>
      </c>
      <c r="K65" s="36">
        <f t="shared" si="1"/>
        <v>0.117818034352269</v>
      </c>
      <c r="L65" s="36" t="s">
        <v>11</v>
      </c>
      <c r="M65" s="43">
        <v>-2.86737549753198</v>
      </c>
      <c r="N65" s="51">
        <v>0.552228770922249</v>
      </c>
      <c r="O65" s="36">
        <f t="shared" si="2"/>
        <v>-5.19236890309667</v>
      </c>
      <c r="P65" s="39" t="s">
        <v>12</v>
      </c>
      <c r="Q65" s="43">
        <v>-2.5891769764758</v>
      </c>
      <c r="R65" s="43">
        <v>0.499078959673444</v>
      </c>
      <c r="S65" s="39">
        <f t="shared" si="3"/>
        <v>-5.18791050251837</v>
      </c>
      <c r="T65" s="39" t="s">
        <v>13</v>
      </c>
      <c r="U65" s="43">
        <v>-3.18110364187785</v>
      </c>
      <c r="V65" s="43">
        <v>4.77772609791171</v>
      </c>
      <c r="W65" s="39">
        <f t="shared" si="4"/>
        <v>-0.665819592142018</v>
      </c>
      <c r="X65" s="39" t="s">
        <v>13</v>
      </c>
      <c r="Y65" s="43">
        <v>2.42097037</v>
      </c>
      <c r="Z65" s="39">
        <v>4.94541634821001</v>
      </c>
      <c r="AA65" s="39">
        <f>Y65/Z65</f>
        <v>0.489538230866299</v>
      </c>
    </row>
    <row r="66" spans="1:27">
      <c r="A66" s="39" t="s">
        <v>36</v>
      </c>
      <c r="B66" s="39"/>
      <c r="C66" s="36" t="s">
        <v>14</v>
      </c>
      <c r="D66" s="36" t="s">
        <v>9</v>
      </c>
      <c r="E66" s="43">
        <v>-0.544761113053611</v>
      </c>
      <c r="F66" s="43">
        <v>1.76797086730927</v>
      </c>
      <c r="G66" s="36">
        <f t="shared" ref="G66:G129" si="5">E66/F66</f>
        <v>-0.308127878760072</v>
      </c>
      <c r="H66" s="36" t="s">
        <v>10</v>
      </c>
      <c r="I66" s="43">
        <v>10.0661399629926</v>
      </c>
      <c r="J66" s="43">
        <v>36.5210161718184</v>
      </c>
      <c r="K66" s="36">
        <f t="shared" ref="K66:K129" si="6">I66/J66</f>
        <v>0.275625955083916</v>
      </c>
      <c r="L66" s="36" t="s">
        <v>11</v>
      </c>
      <c r="M66" s="43">
        <v>9.02073261965562</v>
      </c>
      <c r="N66" s="51">
        <v>0.670779385439208</v>
      </c>
      <c r="O66" s="36">
        <f t="shared" ref="O66:O129" si="7">M66/N66</f>
        <v>13.4481363254017</v>
      </c>
      <c r="P66" s="39" t="s">
        <v>12</v>
      </c>
      <c r="Q66" s="43">
        <v>2.74847295850776</v>
      </c>
      <c r="R66" s="43">
        <v>0.659217708109417</v>
      </c>
      <c r="S66" s="39">
        <f t="shared" ref="S66:S129" si="8">Q66/R66</f>
        <v>4.1692947939614</v>
      </c>
      <c r="T66" s="39" t="s">
        <v>13</v>
      </c>
      <c r="U66" s="43">
        <v>-3.18110364187785</v>
      </c>
      <c r="V66" s="43">
        <v>4.77772609791171</v>
      </c>
      <c r="W66" s="39">
        <f t="shared" ref="W66:W129" si="9">U66/V66</f>
        <v>-0.665819592142018</v>
      </c>
      <c r="X66" s="39" t="s">
        <v>13</v>
      </c>
      <c r="Y66" s="43">
        <v>0.99078943</v>
      </c>
      <c r="Z66" s="39">
        <v>4.94541634821001</v>
      </c>
      <c r="AA66" s="39">
        <f>Y66/Z66</f>
        <v>0.200344998325291</v>
      </c>
    </row>
    <row r="67" spans="1:27">
      <c r="A67" s="39" t="s">
        <v>36</v>
      </c>
      <c r="B67" s="39"/>
      <c r="C67" s="36" t="s">
        <v>15</v>
      </c>
      <c r="D67" s="36" t="s">
        <v>9</v>
      </c>
      <c r="E67" s="43">
        <v>2.60954857369413</v>
      </c>
      <c r="F67" s="43">
        <v>1.18440680962148</v>
      </c>
      <c r="G67" s="36">
        <f t="shared" si="5"/>
        <v>2.20325360551423</v>
      </c>
      <c r="H67" s="36" t="s">
        <v>10</v>
      </c>
      <c r="I67" s="43">
        <v>0.270727333870706</v>
      </c>
      <c r="J67" s="43">
        <v>55.1380868567474</v>
      </c>
      <c r="K67" s="36">
        <f t="shared" si="6"/>
        <v>0.00490998780160934</v>
      </c>
      <c r="L67" s="36" t="s">
        <v>11</v>
      </c>
      <c r="M67" s="43">
        <v>-2.92581720931478</v>
      </c>
      <c r="N67" s="51">
        <v>0.323376990567978</v>
      </c>
      <c r="O67" s="36">
        <f t="shared" si="7"/>
        <v>-9.04769756245145</v>
      </c>
      <c r="P67" s="39" t="s">
        <v>12</v>
      </c>
      <c r="Q67" s="43">
        <v>-0.560066146492635</v>
      </c>
      <c r="R67" s="43">
        <v>0.467255345946252</v>
      </c>
      <c r="S67" s="39">
        <f t="shared" si="8"/>
        <v>-1.19862972430723</v>
      </c>
      <c r="T67" s="39" t="s">
        <v>13</v>
      </c>
      <c r="U67" s="43">
        <v>0.454295108348745</v>
      </c>
      <c r="V67" s="43">
        <v>4.77772609791171</v>
      </c>
      <c r="W67" s="39">
        <f t="shared" si="9"/>
        <v>0.0950860511964703</v>
      </c>
      <c r="X67" s="39" t="s">
        <v>13</v>
      </c>
      <c r="Y67" s="43">
        <v>1.09102155</v>
      </c>
      <c r="Z67" s="39">
        <v>4.94541634821001</v>
      </c>
      <c r="AA67" s="39">
        <f>Y67/Z67</f>
        <v>0.220612679131636</v>
      </c>
    </row>
    <row r="68" spans="1:27">
      <c r="A68" s="35" t="s">
        <v>37</v>
      </c>
      <c r="B68" s="39"/>
      <c r="C68" s="36" t="s">
        <v>8</v>
      </c>
      <c r="D68" s="36" t="s">
        <v>9</v>
      </c>
      <c r="E68" s="43">
        <v>-3.3614163133089</v>
      </c>
      <c r="F68" s="43">
        <v>39.5268392787857</v>
      </c>
      <c r="G68" s="36">
        <f t="shared" si="5"/>
        <v>-0.0850413636567443</v>
      </c>
      <c r="H68" s="36" t="s">
        <v>10</v>
      </c>
      <c r="I68" s="43">
        <v>-0.83921661124416</v>
      </c>
      <c r="J68" s="43">
        <v>32.4059688082988</v>
      </c>
      <c r="K68" s="36">
        <f t="shared" si="6"/>
        <v>-0.0258969764554376</v>
      </c>
      <c r="L68" s="36" t="s">
        <v>11</v>
      </c>
      <c r="M68" s="43">
        <v>4.23219055192297</v>
      </c>
      <c r="N68" s="43">
        <v>0.553112771374476</v>
      </c>
      <c r="O68" s="36">
        <f t="shared" si="7"/>
        <v>7.65158711017655</v>
      </c>
      <c r="P68" s="39" t="s">
        <v>12</v>
      </c>
      <c r="Q68" s="43">
        <v>1.50137490825618</v>
      </c>
      <c r="R68" s="43">
        <v>0.531655604507434</v>
      </c>
      <c r="S68" s="39">
        <f t="shared" si="8"/>
        <v>2.8239614057058</v>
      </c>
      <c r="T68" s="39" t="s">
        <v>13</v>
      </c>
      <c r="U68" s="43">
        <v>0.646112211190729</v>
      </c>
      <c r="V68" s="43">
        <v>6.15001745375088</v>
      </c>
      <c r="W68" s="39">
        <f t="shared" si="9"/>
        <v>0.105058597971404</v>
      </c>
      <c r="X68" s="39" t="s">
        <v>13</v>
      </c>
      <c r="Y68" s="43">
        <v>0.46564947</v>
      </c>
      <c r="Z68" s="39">
        <v>6.31854228506759</v>
      </c>
      <c r="AA68" s="39">
        <f>Y68/Z68</f>
        <v>0.0736957116043133</v>
      </c>
    </row>
    <row r="69" spans="1:27">
      <c r="A69" s="35" t="s">
        <v>37</v>
      </c>
      <c r="B69" s="39"/>
      <c r="C69" s="36" t="s">
        <v>14</v>
      </c>
      <c r="D69" s="36" t="s">
        <v>9</v>
      </c>
      <c r="E69" s="43">
        <v>-0.525713461024552</v>
      </c>
      <c r="F69" s="43">
        <v>91.436287606513</v>
      </c>
      <c r="G69" s="36">
        <f t="shared" si="5"/>
        <v>-0.00574950574641556</v>
      </c>
      <c r="H69" s="36" t="s">
        <v>10</v>
      </c>
      <c r="I69" s="43">
        <v>-0.52220579534848</v>
      </c>
      <c r="J69" s="43">
        <v>33.8255021889986</v>
      </c>
      <c r="K69" s="36">
        <f t="shared" si="6"/>
        <v>-0.0154382274187882</v>
      </c>
      <c r="L69" s="36" t="s">
        <v>11</v>
      </c>
      <c r="M69" s="43">
        <v>0.384928471650016</v>
      </c>
      <c r="N69" s="43">
        <v>0.490789381745517</v>
      </c>
      <c r="O69" s="36">
        <f t="shared" si="7"/>
        <v>0.784304807657001</v>
      </c>
      <c r="P69" s="39" t="s">
        <v>12</v>
      </c>
      <c r="Q69" s="43">
        <v>1.60654485016846</v>
      </c>
      <c r="R69" s="43">
        <v>0.508156585437863</v>
      </c>
      <c r="S69" s="39">
        <f t="shared" si="8"/>
        <v>3.16151536004232</v>
      </c>
      <c r="T69" s="39" t="s">
        <v>13</v>
      </c>
      <c r="U69" s="43">
        <v>0.646112211190729</v>
      </c>
      <c r="V69" s="43">
        <v>6.15001745375088</v>
      </c>
      <c r="W69" s="39">
        <f t="shared" si="9"/>
        <v>0.105058597971404</v>
      </c>
      <c r="X69" s="39" t="s">
        <v>13</v>
      </c>
      <c r="Y69" s="43">
        <v>1.99690212</v>
      </c>
      <c r="Z69" s="39">
        <v>6.31854228506759</v>
      </c>
      <c r="AA69" s="39">
        <f>Y69/Z69</f>
        <v>0.316038419924674</v>
      </c>
    </row>
    <row r="70" spans="1:27">
      <c r="A70" s="35" t="s">
        <v>37</v>
      </c>
      <c r="B70" s="39"/>
      <c r="C70" s="36" t="s">
        <v>15</v>
      </c>
      <c r="D70" s="36" t="s">
        <v>9</v>
      </c>
      <c r="E70" s="43">
        <v>0.297842369674394</v>
      </c>
      <c r="F70" s="43">
        <v>48.6498116856233</v>
      </c>
      <c r="G70" s="36">
        <f t="shared" si="5"/>
        <v>0.00612216901473455</v>
      </c>
      <c r="H70" s="36" t="s">
        <v>10</v>
      </c>
      <c r="I70" s="43">
        <v>-1.68718859563088</v>
      </c>
      <c r="J70" s="43">
        <v>35.3967821753002</v>
      </c>
      <c r="K70" s="36">
        <f t="shared" si="6"/>
        <v>-0.0476650274953014</v>
      </c>
      <c r="L70" s="36" t="s">
        <v>11</v>
      </c>
      <c r="M70" s="43">
        <v>-2.2820827900733</v>
      </c>
      <c r="N70" s="43">
        <v>0.406763033336071</v>
      </c>
      <c r="O70" s="36">
        <f t="shared" si="7"/>
        <v>-5.61034952305468</v>
      </c>
      <c r="P70" s="39" t="s">
        <v>12</v>
      </c>
      <c r="Q70" s="43">
        <v>4.01338075042661</v>
      </c>
      <c r="R70" s="43">
        <v>0.354175103894342</v>
      </c>
      <c r="S70" s="39">
        <f t="shared" si="8"/>
        <v>11.3316286387648</v>
      </c>
      <c r="T70" s="39" t="s">
        <v>13</v>
      </c>
      <c r="U70" s="43">
        <v>2.23719630334933</v>
      </c>
      <c r="V70" s="43">
        <v>6.15001745375088</v>
      </c>
      <c r="W70" s="39">
        <f t="shared" si="9"/>
        <v>0.363770724257843</v>
      </c>
      <c r="X70" s="39" t="s">
        <v>13</v>
      </c>
      <c r="Y70" s="43">
        <v>2.48734301</v>
      </c>
      <c r="Z70" s="39">
        <v>6.31854228506759</v>
      </c>
      <c r="AA70" s="39">
        <f>Y70/Z70</f>
        <v>0.393657729549149</v>
      </c>
    </row>
    <row r="71" spans="1:27">
      <c r="A71" s="35" t="s">
        <v>38</v>
      </c>
      <c r="B71" s="39"/>
      <c r="C71" s="36" t="s">
        <v>8</v>
      </c>
      <c r="D71" s="36" t="s">
        <v>9</v>
      </c>
      <c r="E71" s="43">
        <v>-2.5323898363378</v>
      </c>
      <c r="F71" s="43">
        <v>39.5268392787857</v>
      </c>
      <c r="G71" s="36">
        <f t="shared" si="5"/>
        <v>-0.0640676027363754</v>
      </c>
      <c r="H71" s="36" t="s">
        <v>10</v>
      </c>
      <c r="I71" s="43">
        <v>0.406158760343793</v>
      </c>
      <c r="J71" s="43">
        <v>32.4059688082988</v>
      </c>
      <c r="K71" s="36">
        <f t="shared" si="6"/>
        <v>0.0125334552639506</v>
      </c>
      <c r="L71" s="36" t="s">
        <v>11</v>
      </c>
      <c r="M71" s="43">
        <v>3.91154536012522</v>
      </c>
      <c r="N71" s="43">
        <v>0.553112771374476</v>
      </c>
      <c r="O71" s="36">
        <f t="shared" si="7"/>
        <v>7.0718767719015</v>
      </c>
      <c r="P71" s="39" t="s">
        <v>12</v>
      </c>
      <c r="Q71" s="43">
        <v>0.821673353623978</v>
      </c>
      <c r="R71" s="43">
        <v>0.531655604507434</v>
      </c>
      <c r="S71" s="39">
        <f t="shared" si="8"/>
        <v>1.54549927934125</v>
      </c>
      <c r="T71" s="39" t="s">
        <v>13</v>
      </c>
      <c r="U71" s="43">
        <v>0.736759174016624</v>
      </c>
      <c r="V71" s="43">
        <v>6.15001745375088</v>
      </c>
      <c r="W71" s="39">
        <f t="shared" si="9"/>
        <v>0.119797899690069</v>
      </c>
      <c r="X71" s="39" t="s">
        <v>13</v>
      </c>
      <c r="Y71" s="43">
        <v>0.97156602</v>
      </c>
      <c r="Z71" s="39">
        <v>7.10283692602194</v>
      </c>
      <c r="AA71" s="39">
        <f>Y71/Z71</f>
        <v>0.136785629477227</v>
      </c>
    </row>
    <row r="72" spans="1:27">
      <c r="A72" s="35" t="s">
        <v>38</v>
      </c>
      <c r="B72" s="39"/>
      <c r="C72" s="36" t="s">
        <v>14</v>
      </c>
      <c r="D72" s="36" t="s">
        <v>9</v>
      </c>
      <c r="E72" s="43">
        <v>0.546953447627773</v>
      </c>
      <c r="F72" s="43">
        <v>91.436287606513</v>
      </c>
      <c r="G72" s="36">
        <f t="shared" si="5"/>
        <v>0.00598179849538001</v>
      </c>
      <c r="H72" s="36" t="s">
        <v>10</v>
      </c>
      <c r="I72" s="43">
        <v>0.835607114123332</v>
      </c>
      <c r="J72" s="43">
        <v>33.8255021889986</v>
      </c>
      <c r="K72" s="36">
        <f t="shared" si="6"/>
        <v>0.0247034651386522</v>
      </c>
      <c r="L72" s="36" t="s">
        <v>11</v>
      </c>
      <c r="M72" s="43">
        <v>-0.140998064365122</v>
      </c>
      <c r="N72" s="43">
        <v>0.490789381745517</v>
      </c>
      <c r="O72" s="36">
        <f t="shared" si="7"/>
        <v>-0.287288335097339</v>
      </c>
      <c r="P72" s="39" t="s">
        <v>12</v>
      </c>
      <c r="Q72" s="43">
        <v>2.79895708461107</v>
      </c>
      <c r="R72" s="43">
        <v>0.508156585437863</v>
      </c>
      <c r="S72" s="39">
        <f t="shared" si="8"/>
        <v>5.50806024131183</v>
      </c>
      <c r="T72" s="39" t="s">
        <v>13</v>
      </c>
      <c r="U72" s="43">
        <v>0.736759174016624</v>
      </c>
      <c r="V72" s="43">
        <v>6.15001745375088</v>
      </c>
      <c r="W72" s="39">
        <f t="shared" si="9"/>
        <v>0.119797899690069</v>
      </c>
      <c r="X72" s="39" t="s">
        <v>13</v>
      </c>
      <c r="Y72" s="43">
        <v>1.01570095</v>
      </c>
      <c r="Z72" s="39">
        <v>7.10283692602194</v>
      </c>
      <c r="AA72" s="39">
        <f>Y72/Z72</f>
        <v>0.14299933400961</v>
      </c>
    </row>
    <row r="73" spans="1:27">
      <c r="A73" s="35" t="s">
        <v>38</v>
      </c>
      <c r="B73" s="39"/>
      <c r="C73" s="36" t="s">
        <v>15</v>
      </c>
      <c r="D73" s="36" t="s">
        <v>9</v>
      </c>
      <c r="E73" s="43">
        <v>0.774071087689286</v>
      </c>
      <c r="F73" s="43">
        <v>48.6498116856233</v>
      </c>
      <c r="G73" s="36">
        <f t="shared" si="5"/>
        <v>0.0159110808627865</v>
      </c>
      <c r="H73" s="36" t="s">
        <v>10</v>
      </c>
      <c r="I73" s="43">
        <v>-2.08883127408563</v>
      </c>
      <c r="J73" s="43">
        <v>35.3967821753002</v>
      </c>
      <c r="K73" s="36">
        <f t="shared" si="6"/>
        <v>-0.0590118972888788</v>
      </c>
      <c r="L73" s="36" t="s">
        <v>11</v>
      </c>
      <c r="M73" s="43">
        <v>-4.08668096303112</v>
      </c>
      <c r="N73" s="43">
        <v>0.406763033336071</v>
      </c>
      <c r="O73" s="36">
        <f t="shared" si="7"/>
        <v>-10.0468347123734</v>
      </c>
      <c r="P73" s="39" t="s">
        <v>12</v>
      </c>
      <c r="Q73" s="43">
        <v>5.37809944742033</v>
      </c>
      <c r="R73" s="43">
        <v>0.354175103894342</v>
      </c>
      <c r="S73" s="39">
        <f t="shared" si="8"/>
        <v>15.1848602238985</v>
      </c>
      <c r="T73" s="39" t="s">
        <v>13</v>
      </c>
      <c r="U73" s="43">
        <v>-0.0916621561677366</v>
      </c>
      <c r="V73" s="43">
        <v>6.15001745375088</v>
      </c>
      <c r="W73" s="39">
        <f t="shared" si="9"/>
        <v>-0.0149043733382955</v>
      </c>
      <c r="X73" s="39" t="s">
        <v>13</v>
      </c>
      <c r="Y73" s="43">
        <v>0.72933501</v>
      </c>
      <c r="Z73" s="39">
        <v>7.10283692602194</v>
      </c>
      <c r="AA73" s="39">
        <f>Y73/Z73</f>
        <v>0.102682212416846</v>
      </c>
    </row>
    <row r="74" spans="1:27">
      <c r="A74" s="35" t="s">
        <v>39</v>
      </c>
      <c r="B74" s="39"/>
      <c r="C74" s="36" t="s">
        <v>8</v>
      </c>
      <c r="D74" s="36" t="s">
        <v>9</v>
      </c>
      <c r="E74" s="43">
        <v>1.32632328795133</v>
      </c>
      <c r="F74" s="43">
        <v>17.6785590393125</v>
      </c>
      <c r="G74" s="36">
        <f t="shared" si="5"/>
        <v>0.0750244001788796</v>
      </c>
      <c r="H74" s="36" t="s">
        <v>10</v>
      </c>
      <c r="I74" s="43">
        <v>-1.27602589436753</v>
      </c>
      <c r="J74" s="43">
        <v>41.0026131571426</v>
      </c>
      <c r="K74" s="36">
        <f t="shared" si="6"/>
        <v>-0.0311205993012484</v>
      </c>
      <c r="L74" s="36" t="s">
        <v>11</v>
      </c>
      <c r="M74" s="43">
        <v>-0.587813242505608</v>
      </c>
      <c r="N74" s="43">
        <v>0.29747864330613</v>
      </c>
      <c r="O74" s="36">
        <f t="shared" si="7"/>
        <v>-1.97598468237163</v>
      </c>
      <c r="P74" s="39" t="s">
        <v>12</v>
      </c>
      <c r="Q74" s="43">
        <v>-3.71434843973155</v>
      </c>
      <c r="R74" s="43">
        <v>0.651540724393626</v>
      </c>
      <c r="S74" s="39">
        <f t="shared" si="8"/>
        <v>-5.70086918693902</v>
      </c>
      <c r="T74" s="39" t="s">
        <v>13</v>
      </c>
      <c r="U74" s="43">
        <v>0.392749710911794</v>
      </c>
      <c r="V74" s="43">
        <v>5.83969526741991</v>
      </c>
      <c r="W74" s="39">
        <f t="shared" si="9"/>
        <v>0.0672551722181419</v>
      </c>
      <c r="X74" s="39" t="s">
        <v>13</v>
      </c>
      <c r="Y74" s="43">
        <v>1.44006987</v>
      </c>
      <c r="Z74" s="39">
        <v>6.14964891828646</v>
      </c>
      <c r="AA74" s="39">
        <f>Y74/Z74</f>
        <v>0.234171070435881</v>
      </c>
    </row>
    <row r="75" spans="1:27">
      <c r="A75" s="35" t="s">
        <v>39</v>
      </c>
      <c r="B75" s="39"/>
      <c r="C75" s="36" t="s">
        <v>14</v>
      </c>
      <c r="D75" s="36" t="s">
        <v>9</v>
      </c>
      <c r="E75" s="43">
        <v>-0.864211620368866</v>
      </c>
      <c r="F75" s="43">
        <v>15.9093517973776</v>
      </c>
      <c r="G75" s="36">
        <f t="shared" si="5"/>
        <v>-0.0543209824872511</v>
      </c>
      <c r="H75" s="36" t="s">
        <v>10</v>
      </c>
      <c r="I75" s="43">
        <v>0.805770268289374</v>
      </c>
      <c r="J75" s="43">
        <v>54.4037837257067</v>
      </c>
      <c r="K75" s="36">
        <f t="shared" si="6"/>
        <v>0.0148109233054802</v>
      </c>
      <c r="L75" s="36" t="s">
        <v>11</v>
      </c>
      <c r="M75" s="43">
        <v>-2.52049948222276</v>
      </c>
      <c r="N75" s="43">
        <v>0.580268226598712</v>
      </c>
      <c r="O75" s="36">
        <f t="shared" si="7"/>
        <v>-4.34367998571431</v>
      </c>
      <c r="P75" s="39" t="s">
        <v>12</v>
      </c>
      <c r="Q75" s="43">
        <v>-0.487042680060279</v>
      </c>
      <c r="R75" s="43">
        <v>0.670521356688249</v>
      </c>
      <c r="S75" s="39">
        <f t="shared" si="8"/>
        <v>-0.726364157087876</v>
      </c>
      <c r="T75" s="39" t="s">
        <v>13</v>
      </c>
      <c r="U75" s="43">
        <v>0.392749710911794</v>
      </c>
      <c r="V75" s="43">
        <v>5.83969526741991</v>
      </c>
      <c r="W75" s="39">
        <f t="shared" si="9"/>
        <v>0.0672551722181419</v>
      </c>
      <c r="X75" s="39" t="s">
        <v>13</v>
      </c>
      <c r="Y75" s="43">
        <v>0.54935118</v>
      </c>
      <c r="Z75" s="39">
        <v>6.14964891828646</v>
      </c>
      <c r="AA75" s="39">
        <f>Y75/Z75</f>
        <v>0.0893304946834382</v>
      </c>
    </row>
    <row r="76" spans="1:27">
      <c r="A76" s="35" t="s">
        <v>39</v>
      </c>
      <c r="B76" s="39"/>
      <c r="C76" s="36" t="s">
        <v>15</v>
      </c>
      <c r="D76" s="36" t="s">
        <v>9</v>
      </c>
      <c r="E76" s="43">
        <v>0.786859745522857</v>
      </c>
      <c r="F76" s="43">
        <v>13.5881556005033</v>
      </c>
      <c r="G76" s="36">
        <f t="shared" si="5"/>
        <v>0.0579077667828378</v>
      </c>
      <c r="H76" s="36" t="s">
        <v>10</v>
      </c>
      <c r="I76" s="43">
        <v>-1.08142754727531</v>
      </c>
      <c r="J76" s="43">
        <v>62.6427337513038</v>
      </c>
      <c r="K76" s="36">
        <f t="shared" si="6"/>
        <v>-0.017263415603295</v>
      </c>
      <c r="L76" s="36" t="s">
        <v>11</v>
      </c>
      <c r="M76" s="43">
        <v>-0.00785830285586383</v>
      </c>
      <c r="N76" s="43">
        <v>0.322862715446805</v>
      </c>
      <c r="O76" s="36">
        <f t="shared" si="7"/>
        <v>-0.0243394559975401</v>
      </c>
      <c r="P76" s="39" t="s">
        <v>12</v>
      </c>
      <c r="Q76" s="43">
        <v>-6.46850450320321</v>
      </c>
      <c r="R76" s="43">
        <v>0.427597198006776</v>
      </c>
      <c r="S76" s="39">
        <f t="shared" si="8"/>
        <v>-15.1275652257682</v>
      </c>
      <c r="T76" s="39" t="s">
        <v>13</v>
      </c>
      <c r="U76" s="43">
        <v>0.135359962612309</v>
      </c>
      <c r="V76" s="43">
        <v>5.83969526741991</v>
      </c>
      <c r="W76" s="39">
        <f t="shared" si="9"/>
        <v>0.023179285290363</v>
      </c>
      <c r="X76" s="39" t="s">
        <v>13</v>
      </c>
      <c r="Y76" s="43">
        <v>2.1199763</v>
      </c>
      <c r="Z76" s="39">
        <v>6.14964891828646</v>
      </c>
      <c r="AA76" s="39">
        <f>Y76/Z76</f>
        <v>0.344731272983094</v>
      </c>
    </row>
    <row r="77" spans="1:27">
      <c r="A77" s="35" t="s">
        <v>40</v>
      </c>
      <c r="B77" s="39"/>
      <c r="C77" s="36" t="s">
        <v>8</v>
      </c>
      <c r="D77" s="36" t="s">
        <v>9</v>
      </c>
      <c r="E77" s="43">
        <v>1.20367279716907</v>
      </c>
      <c r="F77" s="43">
        <v>17.6785590393125</v>
      </c>
      <c r="G77" s="36">
        <f t="shared" si="5"/>
        <v>0.068086589777618</v>
      </c>
      <c r="H77" s="36" t="s">
        <v>10</v>
      </c>
      <c r="I77" s="43">
        <v>11.7805134451166</v>
      </c>
      <c r="J77" s="43">
        <v>41.0026131571426</v>
      </c>
      <c r="K77" s="36">
        <f t="shared" si="6"/>
        <v>0.287311284282486</v>
      </c>
      <c r="L77" s="36" t="s">
        <v>11</v>
      </c>
      <c r="M77" s="43">
        <v>-4.58449885901101</v>
      </c>
      <c r="N77" s="43">
        <v>0.29747864330613</v>
      </c>
      <c r="O77" s="36">
        <f t="shared" si="7"/>
        <v>-15.4111865243825</v>
      </c>
      <c r="P77" s="39" t="s">
        <v>12</v>
      </c>
      <c r="Q77" s="43">
        <v>8.03140059562624</v>
      </c>
      <c r="R77" s="43">
        <v>0.651540724393626</v>
      </c>
      <c r="S77" s="39">
        <f t="shared" si="8"/>
        <v>12.326782187101</v>
      </c>
      <c r="T77" s="39" t="s">
        <v>13</v>
      </c>
      <c r="U77" s="43">
        <v>0.00726325715967815</v>
      </c>
      <c r="V77" s="43">
        <v>5.83969526741991</v>
      </c>
      <c r="W77" s="39">
        <f t="shared" si="9"/>
        <v>0.00124377331813877</v>
      </c>
      <c r="X77" s="39" t="s">
        <v>13</v>
      </c>
      <c r="Y77" s="43">
        <v>0.82959741</v>
      </c>
      <c r="Z77" s="39">
        <v>3.36019479954795</v>
      </c>
      <c r="AA77" s="39">
        <f>Y77/Z77</f>
        <v>0.246889677381682</v>
      </c>
    </row>
    <row r="78" spans="1:27">
      <c r="A78" s="35" t="s">
        <v>40</v>
      </c>
      <c r="B78" s="39"/>
      <c r="C78" s="36" t="s">
        <v>14</v>
      </c>
      <c r="D78" s="36" t="s">
        <v>9</v>
      </c>
      <c r="E78" s="43">
        <v>-0.222654724777405</v>
      </c>
      <c r="F78" s="43">
        <v>15.9093517973776</v>
      </c>
      <c r="G78" s="36">
        <f t="shared" si="5"/>
        <v>-0.013995210340003</v>
      </c>
      <c r="H78" s="36" t="s">
        <v>10</v>
      </c>
      <c r="I78" s="43">
        <v>4.28269540163268</v>
      </c>
      <c r="J78" s="43">
        <v>54.4037837257067</v>
      </c>
      <c r="K78" s="36">
        <f t="shared" si="6"/>
        <v>0.078720543100921</v>
      </c>
      <c r="L78" s="36" t="s">
        <v>11</v>
      </c>
      <c r="M78" s="43">
        <v>3.13701537042899</v>
      </c>
      <c r="N78" s="43">
        <v>0.580268226598712</v>
      </c>
      <c r="O78" s="36">
        <f t="shared" si="7"/>
        <v>5.40614706549909</v>
      </c>
      <c r="P78" s="39" t="s">
        <v>12</v>
      </c>
      <c r="Q78" s="43">
        <v>-3.0903708214011</v>
      </c>
      <c r="R78" s="43">
        <v>0.670521356688249</v>
      </c>
      <c r="S78" s="39">
        <f t="shared" si="8"/>
        <v>-4.60890736823754</v>
      </c>
      <c r="T78" s="39" t="s">
        <v>13</v>
      </c>
      <c r="U78" s="43">
        <v>0.00726325715967815</v>
      </c>
      <c r="V78" s="43">
        <v>5.83969526741991</v>
      </c>
      <c r="W78" s="39">
        <f t="shared" si="9"/>
        <v>0.00124377331813877</v>
      </c>
      <c r="X78" s="39" t="s">
        <v>13</v>
      </c>
      <c r="Y78" s="43">
        <v>0.63758635</v>
      </c>
      <c r="Z78" s="39">
        <v>3.36019479954795</v>
      </c>
      <c r="AA78" s="39">
        <f>Y78/Z78</f>
        <v>0.189746841488409</v>
      </c>
    </row>
    <row r="79" spans="1:27">
      <c r="A79" s="35" t="s">
        <v>40</v>
      </c>
      <c r="B79" s="39"/>
      <c r="C79" s="36" t="s">
        <v>15</v>
      </c>
      <c r="D79" s="36" t="s">
        <v>9</v>
      </c>
      <c r="E79" s="43">
        <v>-2.87531014994948</v>
      </c>
      <c r="F79" s="43">
        <v>13.5881556005033</v>
      </c>
      <c r="G79" s="36">
        <f t="shared" si="5"/>
        <v>-0.21160415250492</v>
      </c>
      <c r="H79" s="36" t="s">
        <v>10</v>
      </c>
      <c r="I79" s="43">
        <v>11.3144119549446</v>
      </c>
      <c r="J79" s="43">
        <v>62.6427337513038</v>
      </c>
      <c r="K79" s="36">
        <f t="shared" si="6"/>
        <v>0.180618106480851</v>
      </c>
      <c r="L79" s="36" t="s">
        <v>11</v>
      </c>
      <c r="M79" s="43">
        <v>2.60635090092617</v>
      </c>
      <c r="N79" s="43">
        <v>0.322862715446805</v>
      </c>
      <c r="O79" s="36">
        <f t="shared" si="7"/>
        <v>8.07262894174473</v>
      </c>
      <c r="P79" s="39" t="s">
        <v>12</v>
      </c>
      <c r="Q79" s="43">
        <v>3.42649155490206</v>
      </c>
      <c r="R79" s="43">
        <v>0.427597198006776</v>
      </c>
      <c r="S79" s="39">
        <f t="shared" si="8"/>
        <v>8.01336297542287</v>
      </c>
      <c r="T79" s="39" t="s">
        <v>13</v>
      </c>
      <c r="U79" s="43">
        <v>-5.19504946120841</v>
      </c>
      <c r="V79" s="43">
        <v>5.83969526741991</v>
      </c>
      <c r="W79" s="39">
        <f t="shared" si="9"/>
        <v>-0.889609683949088</v>
      </c>
      <c r="X79" s="39" t="s">
        <v>13</v>
      </c>
      <c r="Y79" s="43">
        <v>1.67898029</v>
      </c>
      <c r="Z79" s="39">
        <v>3.36019479954795</v>
      </c>
      <c r="AA79" s="39">
        <f>Y79/Z79</f>
        <v>0.499667546127348</v>
      </c>
    </row>
    <row r="80" spans="1:27">
      <c r="A80" s="35" t="s">
        <v>41</v>
      </c>
      <c r="B80" s="39"/>
      <c r="C80" s="36" t="s">
        <v>8</v>
      </c>
      <c r="D80" s="36" t="s">
        <v>9</v>
      </c>
      <c r="E80" s="43">
        <v>2.13456988400197</v>
      </c>
      <c r="F80" s="43">
        <v>17.6785590393125</v>
      </c>
      <c r="G80" s="36">
        <f t="shared" si="5"/>
        <v>0.120743431591638</v>
      </c>
      <c r="H80" s="36" t="s">
        <v>10</v>
      </c>
      <c r="I80" s="43">
        <v>-1.64522131472077</v>
      </c>
      <c r="J80" s="43">
        <v>41.0026131571426</v>
      </c>
      <c r="K80" s="36">
        <f t="shared" si="6"/>
        <v>-0.0401247917642579</v>
      </c>
      <c r="L80" s="36" t="s">
        <v>11</v>
      </c>
      <c r="M80" s="43">
        <v>-0.428660486742913</v>
      </c>
      <c r="N80" s="43">
        <v>0.29747864330613</v>
      </c>
      <c r="O80" s="36">
        <f t="shared" si="7"/>
        <v>-1.44097902954931</v>
      </c>
      <c r="P80" s="39" t="s">
        <v>12</v>
      </c>
      <c r="Q80" s="43">
        <v>-6.54254315978369</v>
      </c>
      <c r="R80" s="43">
        <v>0.651540724393626</v>
      </c>
      <c r="S80" s="39">
        <f t="shared" si="8"/>
        <v>-10.0416488407117</v>
      </c>
      <c r="T80" s="39" t="s">
        <v>13</v>
      </c>
      <c r="U80" s="43">
        <v>2.26453683740055</v>
      </c>
      <c r="V80" s="43">
        <v>5.83969526741991</v>
      </c>
      <c r="W80" s="39">
        <f t="shared" si="9"/>
        <v>0.387783391718155</v>
      </c>
      <c r="X80" s="39" t="s">
        <v>13</v>
      </c>
      <c r="Y80" s="43">
        <v>1.34852592</v>
      </c>
      <c r="Z80" s="39">
        <v>3.71728150913834</v>
      </c>
      <c r="AA80" s="39">
        <f>Y80/Z80</f>
        <v>0.362772073270444</v>
      </c>
    </row>
    <row r="81" spans="1:27">
      <c r="A81" s="35" t="s">
        <v>41</v>
      </c>
      <c r="B81" s="39"/>
      <c r="C81" s="36" t="s">
        <v>14</v>
      </c>
      <c r="D81" s="36" t="s">
        <v>9</v>
      </c>
      <c r="E81" s="43">
        <v>-2.69794118781703</v>
      </c>
      <c r="F81" s="43">
        <v>15.9093517973776</v>
      </c>
      <c r="G81" s="36">
        <f t="shared" si="5"/>
        <v>-0.169582093738209</v>
      </c>
      <c r="H81" s="36" t="s">
        <v>10</v>
      </c>
      <c r="I81" s="43">
        <v>4.41450110000628</v>
      </c>
      <c r="J81" s="43">
        <v>54.4037837257067</v>
      </c>
      <c r="K81" s="36">
        <f t="shared" si="6"/>
        <v>0.0811432734580252</v>
      </c>
      <c r="L81" s="36" t="s">
        <v>11</v>
      </c>
      <c r="M81" s="43">
        <v>-4.5182438907601</v>
      </c>
      <c r="N81" s="43">
        <v>0.580268226598712</v>
      </c>
      <c r="O81" s="36">
        <f t="shared" si="7"/>
        <v>-7.7864747433168</v>
      </c>
      <c r="P81" s="39" t="s">
        <v>12</v>
      </c>
      <c r="Q81" s="43">
        <v>2.08314308176559</v>
      </c>
      <c r="R81" s="43">
        <v>0.670521356688249</v>
      </c>
      <c r="S81" s="39">
        <f t="shared" si="8"/>
        <v>3.10675127792257</v>
      </c>
      <c r="T81" s="39" t="s">
        <v>13</v>
      </c>
      <c r="U81" s="43">
        <v>2.26453683740055</v>
      </c>
      <c r="V81" s="43">
        <v>5.83969526741991</v>
      </c>
      <c r="W81" s="39">
        <f t="shared" si="9"/>
        <v>0.387783391718155</v>
      </c>
      <c r="X81" s="39" t="s">
        <v>13</v>
      </c>
      <c r="Y81" s="43">
        <v>0.52697322</v>
      </c>
      <c r="Z81" s="39">
        <v>3.71728150913834</v>
      </c>
      <c r="AA81" s="39">
        <f>Y81/Z81</f>
        <v>0.141763064945316</v>
      </c>
    </row>
    <row r="82" spans="1:27">
      <c r="A82" s="35" t="s">
        <v>41</v>
      </c>
      <c r="B82" s="39"/>
      <c r="C82" s="36" t="s">
        <v>15</v>
      </c>
      <c r="D82" s="36" t="s">
        <v>9</v>
      </c>
      <c r="E82" s="43">
        <v>0.664534872354369</v>
      </c>
      <c r="F82" s="43">
        <v>13.5881556005033</v>
      </c>
      <c r="G82" s="36">
        <f t="shared" si="5"/>
        <v>0.0489054505918195</v>
      </c>
      <c r="H82" s="36" t="s">
        <v>10</v>
      </c>
      <c r="I82" s="43">
        <v>-2.94764597282534</v>
      </c>
      <c r="J82" s="43">
        <v>62.6427337513038</v>
      </c>
      <c r="K82" s="36">
        <f t="shared" si="6"/>
        <v>-0.0470548744652126</v>
      </c>
      <c r="L82" s="36" t="s">
        <v>11</v>
      </c>
      <c r="M82" s="43">
        <v>-1.12501793615272</v>
      </c>
      <c r="N82" s="43">
        <v>0.322862715446805</v>
      </c>
      <c r="O82" s="36">
        <f t="shared" si="7"/>
        <v>-3.48450868535818</v>
      </c>
      <c r="P82" s="39" t="s">
        <v>12</v>
      </c>
      <c r="Q82" s="43">
        <v>-7.9145532749688</v>
      </c>
      <c r="R82" s="43">
        <v>0.427597198006776</v>
      </c>
      <c r="S82" s="39">
        <f t="shared" si="8"/>
        <v>-18.50936655306</v>
      </c>
      <c r="T82" s="39" t="s">
        <v>13</v>
      </c>
      <c r="U82" s="43">
        <v>-1.55269978215794</v>
      </c>
      <c r="V82" s="43">
        <v>5.83969526741991</v>
      </c>
      <c r="W82" s="39">
        <f t="shared" si="9"/>
        <v>-0.265887124422496</v>
      </c>
      <c r="X82" s="39" t="s">
        <v>13</v>
      </c>
      <c r="Y82" s="43">
        <v>1.3661276</v>
      </c>
      <c r="Z82" s="39">
        <v>3.71728150913834</v>
      </c>
      <c r="AA82" s="39">
        <f>Y82/Z82</f>
        <v>0.367507167977888</v>
      </c>
    </row>
    <row r="83" spans="1:27">
      <c r="A83" s="35" t="s">
        <v>42</v>
      </c>
      <c r="B83" s="39"/>
      <c r="C83" s="36" t="s">
        <v>8</v>
      </c>
      <c r="D83" s="36" t="s">
        <v>9</v>
      </c>
      <c r="E83" s="43">
        <v>5.97651488200962</v>
      </c>
      <c r="F83" s="43">
        <v>17.6785590393125</v>
      </c>
      <c r="G83" s="36">
        <f t="shared" si="5"/>
        <v>0.338065725193971</v>
      </c>
      <c r="H83" s="36" t="s">
        <v>10</v>
      </c>
      <c r="I83" s="43">
        <v>-6.19485062619617</v>
      </c>
      <c r="J83" s="43">
        <v>41.0026131571426</v>
      </c>
      <c r="K83" s="36">
        <f t="shared" si="6"/>
        <v>-0.151084288273394</v>
      </c>
      <c r="L83" s="36" t="s">
        <v>11</v>
      </c>
      <c r="M83" s="43">
        <v>-5.36101575860801</v>
      </c>
      <c r="N83" s="43">
        <v>0.29747864330613</v>
      </c>
      <c r="O83" s="36">
        <f t="shared" si="7"/>
        <v>-18.0215147515349</v>
      </c>
      <c r="P83" s="39" t="s">
        <v>12</v>
      </c>
      <c r="Q83" s="43">
        <v>-1.64590267776851</v>
      </c>
      <c r="R83" s="43">
        <v>0.651540724393626</v>
      </c>
      <c r="S83" s="39">
        <f t="shared" si="8"/>
        <v>-2.52617007064342</v>
      </c>
      <c r="T83" s="39" t="s">
        <v>13</v>
      </c>
      <c r="U83" s="43">
        <v>-4.69739762980616</v>
      </c>
      <c r="V83" s="43">
        <v>5.83969526741991</v>
      </c>
      <c r="W83" s="39">
        <f t="shared" si="9"/>
        <v>-0.804390882519724</v>
      </c>
      <c r="X83" s="39" t="s">
        <v>13</v>
      </c>
      <c r="Y83" s="43">
        <v>-7.70552226</v>
      </c>
      <c r="Z83" s="39">
        <v>5.44726787231244</v>
      </c>
      <c r="AA83" s="39">
        <f>Y83/Z83</f>
        <v>-1.41456642864323</v>
      </c>
    </row>
    <row r="84" spans="1:27">
      <c r="A84" s="35" t="s">
        <v>42</v>
      </c>
      <c r="B84" s="39"/>
      <c r="C84" s="36" t="s">
        <v>14</v>
      </c>
      <c r="D84" s="36" t="s">
        <v>9</v>
      </c>
      <c r="E84" s="43">
        <v>-4.35944756262876</v>
      </c>
      <c r="F84" s="43">
        <v>15.9093517973776</v>
      </c>
      <c r="G84" s="36">
        <f t="shared" si="5"/>
        <v>-0.274017924686746</v>
      </c>
      <c r="H84" s="36" t="s">
        <v>10</v>
      </c>
      <c r="I84" s="43">
        <v>5.03942184442846</v>
      </c>
      <c r="J84" s="43">
        <v>54.4037837257067</v>
      </c>
      <c r="K84" s="36">
        <f t="shared" si="6"/>
        <v>0.0926299881978107</v>
      </c>
      <c r="L84" s="36" t="s">
        <v>11</v>
      </c>
      <c r="M84" s="43">
        <v>-1.5430434635596</v>
      </c>
      <c r="N84" s="43">
        <v>0.580268226598712</v>
      </c>
      <c r="O84" s="36">
        <f t="shared" si="7"/>
        <v>-2.65918999667494</v>
      </c>
      <c r="P84" s="39" t="s">
        <v>12</v>
      </c>
      <c r="Q84" s="43">
        <v>-2.15449151301092</v>
      </c>
      <c r="R84" s="43">
        <v>0.670521356688249</v>
      </c>
      <c r="S84" s="39">
        <f t="shared" si="8"/>
        <v>-3.21315867350162</v>
      </c>
      <c r="T84" s="39" t="s">
        <v>13</v>
      </c>
      <c r="U84" s="43">
        <v>-4.69739762980616</v>
      </c>
      <c r="V84" s="43">
        <v>5.83969526741991</v>
      </c>
      <c r="W84" s="39">
        <f t="shared" si="9"/>
        <v>-0.804390882519724</v>
      </c>
      <c r="X84" s="39" t="s">
        <v>13</v>
      </c>
      <c r="Y84" s="43">
        <v>-5.90879904</v>
      </c>
      <c r="Z84" s="39">
        <v>5.44726787231244</v>
      </c>
      <c r="AA84" s="39">
        <f>Y84/Z84</f>
        <v>-1.08472709227931</v>
      </c>
    </row>
    <row r="85" spans="1:27">
      <c r="A85" s="35" t="s">
        <v>42</v>
      </c>
      <c r="B85" s="39"/>
      <c r="C85" s="36" t="s">
        <v>15</v>
      </c>
      <c r="D85" s="36" t="s">
        <v>9</v>
      </c>
      <c r="E85" s="43">
        <v>3.97916472618256</v>
      </c>
      <c r="F85" s="43">
        <v>13.5881556005033</v>
      </c>
      <c r="G85" s="36">
        <f t="shared" si="5"/>
        <v>0.292840680013642</v>
      </c>
      <c r="H85" s="36" t="s">
        <v>10</v>
      </c>
      <c r="I85" s="43">
        <v>-3.69468308304901</v>
      </c>
      <c r="J85" s="43">
        <v>62.6427337513038</v>
      </c>
      <c r="K85" s="36">
        <f t="shared" si="6"/>
        <v>-0.0589802338083962</v>
      </c>
      <c r="L85" s="36" t="s">
        <v>11</v>
      </c>
      <c r="M85" s="43">
        <v>-5.16662968913806</v>
      </c>
      <c r="N85" s="43">
        <v>0.322862715446805</v>
      </c>
      <c r="O85" s="36">
        <f t="shared" si="7"/>
        <v>-16.0025591124328</v>
      </c>
      <c r="P85" s="39" t="s">
        <v>12</v>
      </c>
      <c r="Q85" s="43">
        <v>-2.88874715823208</v>
      </c>
      <c r="R85" s="43">
        <v>0.427597198006776</v>
      </c>
      <c r="S85" s="39">
        <f t="shared" si="8"/>
        <v>-6.7557672774701</v>
      </c>
      <c r="T85" s="39" t="s">
        <v>13</v>
      </c>
      <c r="U85" s="43">
        <v>-1.26003817390217</v>
      </c>
      <c r="V85" s="43">
        <v>5.83969526741991</v>
      </c>
      <c r="W85" s="39">
        <f t="shared" si="9"/>
        <v>-0.215771220277883</v>
      </c>
      <c r="X85" s="39" t="s">
        <v>13</v>
      </c>
      <c r="Y85" s="43">
        <v>-4.4276107</v>
      </c>
      <c r="Z85" s="39">
        <v>5.44726787231244</v>
      </c>
      <c r="AA85" s="39">
        <f>Y85/Z85</f>
        <v>-0.812813102602281</v>
      </c>
    </row>
    <row r="86" spans="1:27">
      <c r="A86" s="35" t="s">
        <v>43</v>
      </c>
      <c r="B86" s="39"/>
      <c r="C86" s="36" t="s">
        <v>8</v>
      </c>
      <c r="D86" s="36" t="s">
        <v>9</v>
      </c>
      <c r="E86" s="43">
        <v>-3.06597976466377</v>
      </c>
      <c r="F86" s="43">
        <v>17.6785590393125</v>
      </c>
      <c r="G86" s="36">
        <f t="shared" si="5"/>
        <v>-0.173429279945601</v>
      </c>
      <c r="H86" s="36" t="s">
        <v>10</v>
      </c>
      <c r="I86" s="43">
        <v>12.0575483873948</v>
      </c>
      <c r="J86" s="43">
        <v>41.0026131571426</v>
      </c>
      <c r="K86" s="36">
        <f t="shared" si="6"/>
        <v>0.29406780346375</v>
      </c>
      <c r="L86" s="36" t="s">
        <v>11</v>
      </c>
      <c r="M86" s="43">
        <v>0.51634108927291</v>
      </c>
      <c r="N86" s="43">
        <v>0.29747864330613</v>
      </c>
      <c r="O86" s="36">
        <f t="shared" si="7"/>
        <v>1.73572490291867</v>
      </c>
      <c r="P86" s="39" t="s">
        <v>12</v>
      </c>
      <c r="Q86" s="43">
        <v>6.50070216590258</v>
      </c>
      <c r="R86" s="43">
        <v>0.651540724393626</v>
      </c>
      <c r="S86" s="39">
        <f t="shared" si="8"/>
        <v>9.97743030100326</v>
      </c>
      <c r="T86" s="39" t="s">
        <v>13</v>
      </c>
      <c r="U86" s="43">
        <v>0.753969574015156</v>
      </c>
      <c r="V86" s="43">
        <v>5.83969526741991</v>
      </c>
      <c r="W86" s="39">
        <f t="shared" si="9"/>
        <v>0.129111116160737</v>
      </c>
      <c r="X86" s="39" t="s">
        <v>13</v>
      </c>
      <c r="Y86" s="43">
        <v>10.17320314</v>
      </c>
      <c r="Z86" s="39">
        <v>4.36098404241311</v>
      </c>
      <c r="AA86" s="39">
        <f>Y86/Z86</f>
        <v>2.33277696984435</v>
      </c>
    </row>
    <row r="87" spans="1:27">
      <c r="A87" s="35" t="s">
        <v>43</v>
      </c>
      <c r="B87" s="39"/>
      <c r="C87" s="36" t="s">
        <v>14</v>
      </c>
      <c r="D87" s="36" t="s">
        <v>9</v>
      </c>
      <c r="E87" s="43">
        <v>-10.5070352439331</v>
      </c>
      <c r="F87" s="43">
        <v>15.9093517973776</v>
      </c>
      <c r="G87" s="36">
        <f t="shared" si="5"/>
        <v>-0.660431385121864</v>
      </c>
      <c r="H87" s="36" t="s">
        <v>10</v>
      </c>
      <c r="I87" s="43">
        <v>12.1901607965124</v>
      </c>
      <c r="J87" s="43">
        <v>54.4037837257067</v>
      </c>
      <c r="K87" s="36">
        <f t="shared" si="6"/>
        <v>0.224068253376876</v>
      </c>
      <c r="L87" s="36" t="s">
        <v>11</v>
      </c>
      <c r="M87" s="43">
        <v>9.4637653000523</v>
      </c>
      <c r="N87" s="43">
        <v>0.580268226598712</v>
      </c>
      <c r="O87" s="36">
        <f t="shared" si="7"/>
        <v>16.3092943336307</v>
      </c>
      <c r="P87" s="39" t="s">
        <v>12</v>
      </c>
      <c r="Q87" s="43">
        <v>-2.21874735906114</v>
      </c>
      <c r="R87" s="43">
        <v>0.670521356688249</v>
      </c>
      <c r="S87" s="39">
        <f t="shared" si="8"/>
        <v>-3.30898835201862</v>
      </c>
      <c r="T87" s="39" t="s">
        <v>13</v>
      </c>
      <c r="U87" s="43">
        <v>0.753969574015156</v>
      </c>
      <c r="V87" s="43">
        <v>5.83969526741991</v>
      </c>
      <c r="W87" s="39">
        <f t="shared" si="9"/>
        <v>0.129111116160737</v>
      </c>
      <c r="X87" s="39" t="s">
        <v>13</v>
      </c>
      <c r="Y87" s="43">
        <v>1.80171749</v>
      </c>
      <c r="Z87" s="39">
        <v>4.36098404241311</v>
      </c>
      <c r="AA87" s="39">
        <f>Y87/Z87</f>
        <v>0.413144710569277</v>
      </c>
    </row>
    <row r="88" spans="1:27">
      <c r="A88" s="35" t="s">
        <v>43</v>
      </c>
      <c r="B88" s="39"/>
      <c r="C88" s="36" t="s">
        <v>15</v>
      </c>
      <c r="D88" s="36" t="s">
        <v>9</v>
      </c>
      <c r="E88" s="43">
        <v>-9.35051827487054</v>
      </c>
      <c r="F88" s="43">
        <v>13.5881556005033</v>
      </c>
      <c r="G88" s="36">
        <f t="shared" si="5"/>
        <v>-0.688137415391696</v>
      </c>
      <c r="H88" s="36" t="s">
        <v>10</v>
      </c>
      <c r="I88" s="43">
        <v>18.2398329427622</v>
      </c>
      <c r="J88" s="43">
        <v>62.6427337513038</v>
      </c>
      <c r="K88" s="36">
        <f t="shared" si="6"/>
        <v>0.291172365101045</v>
      </c>
      <c r="L88" s="36" t="s">
        <v>11</v>
      </c>
      <c r="M88" s="43">
        <v>10.721361081584</v>
      </c>
      <c r="N88" s="43">
        <v>0.322862715446805</v>
      </c>
      <c r="O88" s="36">
        <f t="shared" si="7"/>
        <v>33.2071823987073</v>
      </c>
      <c r="P88" s="39" t="s">
        <v>12</v>
      </c>
      <c r="Q88" s="43">
        <v>-1.14311640051184</v>
      </c>
      <c r="R88" s="43">
        <v>0.427597198006776</v>
      </c>
      <c r="S88" s="39">
        <f t="shared" si="8"/>
        <v>-2.6733486698239</v>
      </c>
      <c r="T88" s="39" t="s">
        <v>13</v>
      </c>
      <c r="U88" s="43">
        <v>-3.687714712739</v>
      </c>
      <c r="V88" s="43">
        <v>5.83969526741991</v>
      </c>
      <c r="W88" s="39">
        <f t="shared" si="9"/>
        <v>-0.631490950103686</v>
      </c>
      <c r="X88" s="39" t="s">
        <v>13</v>
      </c>
      <c r="Y88" s="43">
        <v>3.31978965</v>
      </c>
      <c r="Z88" s="39">
        <v>4.36098404241311</v>
      </c>
      <c r="AA88" s="39">
        <f>Y88/Z88</f>
        <v>0.761247832533463</v>
      </c>
    </row>
    <row r="89" spans="1:27">
      <c r="A89" s="35" t="s">
        <v>44</v>
      </c>
      <c r="B89" s="39"/>
      <c r="C89" s="36" t="s">
        <v>8</v>
      </c>
      <c r="D89" s="36" t="s">
        <v>9</v>
      </c>
      <c r="E89" s="43">
        <v>0.633348516312741</v>
      </c>
      <c r="F89" s="43">
        <v>17.6785590393125</v>
      </c>
      <c r="G89" s="36">
        <f t="shared" si="5"/>
        <v>0.0358257997670703</v>
      </c>
      <c r="H89" s="36" t="s">
        <v>10</v>
      </c>
      <c r="I89" s="43">
        <v>-2.59436184261785</v>
      </c>
      <c r="J89" s="43">
        <v>41.0026131571426</v>
      </c>
      <c r="K89" s="36">
        <f t="shared" si="6"/>
        <v>-0.0632730853683631</v>
      </c>
      <c r="L89" s="36" t="s">
        <v>11</v>
      </c>
      <c r="M89" s="43">
        <v>-1.21120644238781</v>
      </c>
      <c r="N89" s="43">
        <v>0.29747864330613</v>
      </c>
      <c r="O89" s="36">
        <f t="shared" si="7"/>
        <v>-4.07157444624144</v>
      </c>
      <c r="P89" s="39" t="s">
        <v>12</v>
      </c>
      <c r="Q89" s="43">
        <v>-4.53852441331797</v>
      </c>
      <c r="R89" s="43">
        <v>0.651540724393626</v>
      </c>
      <c r="S89" s="39">
        <f t="shared" si="8"/>
        <v>-6.96583382035232</v>
      </c>
      <c r="T89" s="39" t="s">
        <v>13</v>
      </c>
      <c r="U89" s="43">
        <v>1.82006100280273</v>
      </c>
      <c r="V89" s="43">
        <v>5.83969526741991</v>
      </c>
      <c r="W89" s="39">
        <f t="shared" si="9"/>
        <v>0.311670544344494</v>
      </c>
      <c r="X89" s="39" t="s">
        <v>13</v>
      </c>
      <c r="Y89" s="43">
        <v>0.3499692</v>
      </c>
      <c r="Z89" s="39">
        <v>3.91964747951093</v>
      </c>
      <c r="AA89" s="39">
        <f>Y89/Z89</f>
        <v>0.0892858865062189</v>
      </c>
    </row>
    <row r="90" spans="1:27">
      <c r="A90" s="35" t="s">
        <v>44</v>
      </c>
      <c r="B90" s="39"/>
      <c r="C90" s="36" t="s">
        <v>14</v>
      </c>
      <c r="D90" s="36" t="s">
        <v>9</v>
      </c>
      <c r="E90" s="43">
        <v>4.73345105984382</v>
      </c>
      <c r="F90" s="43">
        <v>15.9093517973776</v>
      </c>
      <c r="G90" s="36">
        <f t="shared" si="5"/>
        <v>0.297526330433151</v>
      </c>
      <c r="H90" s="36" t="s">
        <v>10</v>
      </c>
      <c r="I90" s="43">
        <v>-4.57394460441601</v>
      </c>
      <c r="J90" s="43">
        <v>54.4037837257067</v>
      </c>
      <c r="K90" s="36">
        <f t="shared" si="6"/>
        <v>-0.08407401638601</v>
      </c>
      <c r="L90" s="36" t="s">
        <v>11</v>
      </c>
      <c r="M90" s="43">
        <v>-2.65334650674012</v>
      </c>
      <c r="N90" s="43">
        <v>0.580268226598712</v>
      </c>
      <c r="O90" s="36">
        <f t="shared" si="7"/>
        <v>-4.57262070386469</v>
      </c>
      <c r="P90" s="39" t="s">
        <v>12</v>
      </c>
      <c r="Q90" s="43">
        <v>-0.257386867829116</v>
      </c>
      <c r="R90" s="43">
        <v>0.670521356688249</v>
      </c>
      <c r="S90" s="39">
        <f t="shared" si="8"/>
        <v>-0.38386080512091</v>
      </c>
      <c r="T90" s="39" t="s">
        <v>13</v>
      </c>
      <c r="U90" s="43">
        <v>1.82006100280273</v>
      </c>
      <c r="V90" s="43">
        <v>5.83969526741991</v>
      </c>
      <c r="W90" s="39">
        <f t="shared" si="9"/>
        <v>0.311670544344494</v>
      </c>
      <c r="X90" s="39" t="s">
        <v>13</v>
      </c>
      <c r="Y90" s="43">
        <v>-0.97904964</v>
      </c>
      <c r="Z90" s="39">
        <v>3.91964747951093</v>
      </c>
      <c r="AA90" s="39">
        <f>Y90/Z90</f>
        <v>-0.249780023616348</v>
      </c>
    </row>
    <row r="91" spans="1:27">
      <c r="A91" s="35" t="s">
        <v>44</v>
      </c>
      <c r="B91" s="39"/>
      <c r="C91" s="36" t="s">
        <v>15</v>
      </c>
      <c r="D91" s="36" t="s">
        <v>9</v>
      </c>
      <c r="E91" s="43">
        <v>3.90297515565859</v>
      </c>
      <c r="F91" s="43">
        <v>13.5881556005033</v>
      </c>
      <c r="G91" s="36">
        <f t="shared" si="5"/>
        <v>0.287233622458226</v>
      </c>
      <c r="H91" s="36" t="s">
        <v>10</v>
      </c>
      <c r="I91" s="43">
        <v>-3.59077852645746</v>
      </c>
      <c r="J91" s="43">
        <v>62.6427337513038</v>
      </c>
      <c r="K91" s="36">
        <f t="shared" si="6"/>
        <v>-0.0573215489080204</v>
      </c>
      <c r="L91" s="36" t="s">
        <v>11</v>
      </c>
      <c r="M91" s="43">
        <v>-1.46177279193755</v>
      </c>
      <c r="N91" s="43">
        <v>0.322862715446805</v>
      </c>
      <c r="O91" s="36">
        <f t="shared" si="7"/>
        <v>-4.52753669594405</v>
      </c>
      <c r="P91" s="39" t="s">
        <v>12</v>
      </c>
      <c r="Q91" s="43">
        <v>-4.40311905477016</v>
      </c>
      <c r="R91" s="43">
        <v>0.427597198006776</v>
      </c>
      <c r="S91" s="39">
        <f t="shared" si="8"/>
        <v>-10.2973524506126</v>
      </c>
      <c r="T91" s="39" t="s">
        <v>13</v>
      </c>
      <c r="U91" s="43">
        <v>1.54669685577548</v>
      </c>
      <c r="V91" s="43">
        <v>5.83969526741991</v>
      </c>
      <c r="W91" s="39">
        <f t="shared" si="9"/>
        <v>0.264859172430557</v>
      </c>
      <c r="X91" s="39" t="s">
        <v>13</v>
      </c>
      <c r="Y91" s="43">
        <v>-0.27919227</v>
      </c>
      <c r="Z91" s="39">
        <v>3.91964747951093</v>
      </c>
      <c r="AA91" s="39">
        <f>Y91/Z91</f>
        <v>-0.0712289233813537</v>
      </c>
    </row>
    <row r="92" spans="1:27">
      <c r="A92" s="35" t="s">
        <v>45</v>
      </c>
      <c r="B92" s="39"/>
      <c r="C92" s="36" t="s">
        <v>8</v>
      </c>
      <c r="D92" s="36" t="s">
        <v>9</v>
      </c>
      <c r="E92" s="43">
        <v>-3.67886482292837</v>
      </c>
      <c r="F92" s="43">
        <v>14.1426423249403</v>
      </c>
      <c r="G92" s="36">
        <f t="shared" si="5"/>
        <v>-0.260125706243787</v>
      </c>
      <c r="H92" s="36" t="s">
        <v>10</v>
      </c>
      <c r="I92" s="43">
        <v>-0.291513926705265</v>
      </c>
      <c r="J92" s="43">
        <v>12.0145779410886</v>
      </c>
      <c r="K92" s="36">
        <f t="shared" si="6"/>
        <v>-0.0242633514164753</v>
      </c>
      <c r="L92" s="36" t="s">
        <v>11</v>
      </c>
      <c r="M92" s="43">
        <v>-1.30032664236344</v>
      </c>
      <c r="N92" s="43">
        <v>0.529108473550861</v>
      </c>
      <c r="O92" s="36">
        <f t="shared" si="7"/>
        <v>-2.45758045346905</v>
      </c>
      <c r="P92" s="39" t="s">
        <v>12</v>
      </c>
      <c r="Q92" s="43">
        <v>-2.85370496484514</v>
      </c>
      <c r="R92" s="43">
        <v>0.395947693760393</v>
      </c>
      <c r="S92" s="39">
        <f t="shared" si="8"/>
        <v>-7.20727765261856</v>
      </c>
      <c r="T92" s="39" t="s">
        <v>13</v>
      </c>
      <c r="U92" s="43">
        <v>-4.77216296037007</v>
      </c>
      <c r="V92" s="43">
        <v>8.29844960989568</v>
      </c>
      <c r="W92" s="39">
        <f t="shared" si="9"/>
        <v>-0.575066811839093</v>
      </c>
      <c r="X92" s="39" t="s">
        <v>13</v>
      </c>
      <c r="Y92" s="43">
        <v>1.7289549</v>
      </c>
      <c r="Z92" s="39">
        <v>8.52584649636223</v>
      </c>
      <c r="AA92" s="39">
        <f>Y92/Z92</f>
        <v>0.202789822774513</v>
      </c>
    </row>
    <row r="93" spans="1:27">
      <c r="A93" s="35" t="s">
        <v>45</v>
      </c>
      <c r="B93" s="39"/>
      <c r="C93" s="36" t="s">
        <v>14</v>
      </c>
      <c r="D93" s="36" t="s">
        <v>9</v>
      </c>
      <c r="E93" s="43">
        <v>6.66082596901819</v>
      </c>
      <c r="F93" s="43">
        <v>15.2578562159114</v>
      </c>
      <c r="G93" s="36">
        <f t="shared" si="5"/>
        <v>0.436550579240094</v>
      </c>
      <c r="H93" s="36" t="s">
        <v>10</v>
      </c>
      <c r="I93" s="43">
        <v>5.12515520595641</v>
      </c>
      <c r="J93" s="43">
        <v>12.2180716251881</v>
      </c>
      <c r="K93" s="36">
        <f t="shared" si="6"/>
        <v>0.419473331240805</v>
      </c>
      <c r="L93" s="36" t="s">
        <v>11</v>
      </c>
      <c r="M93" s="43">
        <v>-5.89603051590485</v>
      </c>
      <c r="N93" s="43">
        <v>0.544351317609023</v>
      </c>
      <c r="O93" s="36">
        <f t="shared" si="7"/>
        <v>-10.8312964902928</v>
      </c>
      <c r="P93" s="39" t="s">
        <v>12</v>
      </c>
      <c r="Q93" s="43">
        <v>3.2180447079971</v>
      </c>
      <c r="R93" s="43">
        <v>0.538062938458809</v>
      </c>
      <c r="S93" s="39">
        <f t="shared" si="8"/>
        <v>5.98079607046464</v>
      </c>
      <c r="T93" s="39" t="s">
        <v>13</v>
      </c>
      <c r="U93" s="43">
        <v>-4.77216296037007</v>
      </c>
      <c r="V93" s="43">
        <v>8.29844960989568</v>
      </c>
      <c r="W93" s="39">
        <f t="shared" si="9"/>
        <v>-0.575066811839093</v>
      </c>
      <c r="X93" s="39" t="s">
        <v>13</v>
      </c>
      <c r="Y93" s="43">
        <v>-1.37378297</v>
      </c>
      <c r="Z93" s="39">
        <v>8.52584649636223</v>
      </c>
      <c r="AA93" s="39">
        <f>Y93/Z93</f>
        <v>-0.161131562782201</v>
      </c>
    </row>
    <row r="94" spans="1:27">
      <c r="A94" s="35" t="s">
        <v>45</v>
      </c>
      <c r="B94" s="39"/>
      <c r="C94" s="36" t="s">
        <v>15</v>
      </c>
      <c r="D94" s="36" t="s">
        <v>9</v>
      </c>
      <c r="E94" s="43">
        <v>0.159756887569973</v>
      </c>
      <c r="F94" s="43">
        <v>12.0417472270298</v>
      </c>
      <c r="G94" s="36">
        <f t="shared" si="5"/>
        <v>0.0132669192068217</v>
      </c>
      <c r="H94" s="36" t="s">
        <v>10</v>
      </c>
      <c r="I94" s="43">
        <v>1.72894749399083</v>
      </c>
      <c r="J94" s="43">
        <v>13.9221838163438</v>
      </c>
      <c r="K94" s="36">
        <f t="shared" si="6"/>
        <v>0.124186515333977</v>
      </c>
      <c r="L94" s="36" t="s">
        <v>11</v>
      </c>
      <c r="M94" s="43">
        <v>-0.00313159425881523</v>
      </c>
      <c r="N94" s="43">
        <v>0.325390750480376</v>
      </c>
      <c r="O94" s="36">
        <f t="shared" si="7"/>
        <v>-0.00962410349462006</v>
      </c>
      <c r="P94" s="39" t="s">
        <v>12</v>
      </c>
      <c r="Q94" s="43">
        <v>-0.515441640591891</v>
      </c>
      <c r="R94" s="43">
        <v>0.368295556080139</v>
      </c>
      <c r="S94" s="39">
        <f t="shared" si="8"/>
        <v>-1.3995326092931</v>
      </c>
      <c r="T94" s="39" t="s">
        <v>13</v>
      </c>
      <c r="U94" s="43">
        <v>0.538376912744379</v>
      </c>
      <c r="V94" s="43">
        <v>8.29844960989568</v>
      </c>
      <c r="W94" s="39">
        <f t="shared" si="9"/>
        <v>0.0648768068799718</v>
      </c>
      <c r="X94" s="39" t="s">
        <v>13</v>
      </c>
      <c r="Y94" s="43">
        <v>1.29706123</v>
      </c>
      <c r="Z94" s="39">
        <v>8.52584649636223</v>
      </c>
      <c r="AA94" s="39">
        <f>Y94/Z94</f>
        <v>0.152132838722046</v>
      </c>
    </row>
    <row r="95" spans="1:27">
      <c r="A95" s="35" t="s">
        <v>46</v>
      </c>
      <c r="B95" s="39"/>
      <c r="C95" s="36" t="s">
        <v>8</v>
      </c>
      <c r="D95" s="36" t="s">
        <v>9</v>
      </c>
      <c r="E95" s="43">
        <v>-1.35360695394511</v>
      </c>
      <c r="F95" s="43">
        <v>1.59856965129122</v>
      </c>
      <c r="G95" s="36">
        <f t="shared" si="5"/>
        <v>-0.846761323694438</v>
      </c>
      <c r="H95" s="36" t="s">
        <v>10</v>
      </c>
      <c r="I95" s="43">
        <v>2.52828556402985</v>
      </c>
      <c r="J95" s="43">
        <v>41.4055330030336</v>
      </c>
      <c r="K95" s="36">
        <f t="shared" si="6"/>
        <v>0.0610615388973405</v>
      </c>
      <c r="L95" s="36" t="s">
        <v>11</v>
      </c>
      <c r="M95" s="43">
        <v>0.693001029831094</v>
      </c>
      <c r="N95" s="43">
        <v>0.688714058396473</v>
      </c>
      <c r="O95" s="36">
        <f t="shared" si="7"/>
        <v>1.00622460276853</v>
      </c>
      <c r="P95" s="39" t="s">
        <v>12</v>
      </c>
      <c r="Q95" s="43">
        <v>-0.633714302356358</v>
      </c>
      <c r="R95" s="43">
        <v>0.412979712347871</v>
      </c>
      <c r="S95" s="39">
        <f t="shared" si="8"/>
        <v>-1.53449257532184</v>
      </c>
      <c r="T95" s="39" t="s">
        <v>13</v>
      </c>
      <c r="U95" s="43">
        <v>0.0384717422520902</v>
      </c>
      <c r="V95" s="43">
        <v>4.67134119621213</v>
      </c>
      <c r="W95" s="39">
        <f t="shared" si="9"/>
        <v>0.00823569519676404</v>
      </c>
      <c r="X95" s="39" t="s">
        <v>13</v>
      </c>
      <c r="Y95" s="51">
        <v>1.63953032</v>
      </c>
      <c r="Z95" s="39">
        <v>4.84767985741633</v>
      </c>
      <c r="AA95" s="39">
        <f>Y95/Z95</f>
        <v>0.338209281186696</v>
      </c>
    </row>
    <row r="96" spans="1:27">
      <c r="A96" s="35" t="s">
        <v>46</v>
      </c>
      <c r="B96" s="39"/>
      <c r="C96" s="36" t="s">
        <v>14</v>
      </c>
      <c r="D96" s="36" t="s">
        <v>9</v>
      </c>
      <c r="E96" s="43">
        <v>-6.42085835369909</v>
      </c>
      <c r="F96" s="43">
        <v>2.03864626076873</v>
      </c>
      <c r="G96" s="36">
        <f t="shared" si="5"/>
        <v>-3.14956963219206</v>
      </c>
      <c r="H96" s="36" t="s">
        <v>10</v>
      </c>
      <c r="I96" s="43">
        <v>7.45069430332242</v>
      </c>
      <c r="J96" s="43">
        <v>46.1699594223476</v>
      </c>
      <c r="K96" s="36">
        <f t="shared" si="6"/>
        <v>0.161375370404074</v>
      </c>
      <c r="L96" s="36" t="s">
        <v>11</v>
      </c>
      <c r="M96" s="43">
        <v>2.88948659990954</v>
      </c>
      <c r="N96" s="43">
        <v>0.634447433981152</v>
      </c>
      <c r="O96" s="36">
        <f t="shared" si="7"/>
        <v>4.55433570245219</v>
      </c>
      <c r="P96" s="39" t="s">
        <v>12</v>
      </c>
      <c r="Q96" s="43">
        <v>-1.52167364523113</v>
      </c>
      <c r="R96" s="43">
        <v>0.638397490603676</v>
      </c>
      <c r="S96" s="39">
        <f t="shared" si="8"/>
        <v>-2.38358337497884</v>
      </c>
      <c r="T96" s="39" t="s">
        <v>13</v>
      </c>
      <c r="U96" s="43">
        <v>0.0384717422520902</v>
      </c>
      <c r="V96" s="43">
        <v>4.67134119621213</v>
      </c>
      <c r="W96" s="39">
        <f t="shared" si="9"/>
        <v>0.00823569519676404</v>
      </c>
      <c r="X96" s="39" t="s">
        <v>13</v>
      </c>
      <c r="Y96" s="51">
        <v>0.1864245</v>
      </c>
      <c r="Z96" s="39">
        <v>4.84767985741633</v>
      </c>
      <c r="AA96" s="39">
        <f>Y96/Z96</f>
        <v>0.0384564380246345</v>
      </c>
    </row>
    <row r="97" spans="1:27">
      <c r="A97" s="35" t="s">
        <v>46</v>
      </c>
      <c r="B97" s="39"/>
      <c r="C97" s="36" t="s">
        <v>15</v>
      </c>
      <c r="D97" s="36" t="s">
        <v>9</v>
      </c>
      <c r="E97" s="43">
        <v>-8.04899665053421</v>
      </c>
      <c r="F97" s="43">
        <v>1.64379733966907</v>
      </c>
      <c r="G97" s="36">
        <f t="shared" si="5"/>
        <v>-4.89658697960579</v>
      </c>
      <c r="H97" s="36" t="s">
        <v>10</v>
      </c>
      <c r="I97" s="43">
        <v>8.61666243585051</v>
      </c>
      <c r="J97" s="43">
        <v>64.572160236057</v>
      </c>
      <c r="K97" s="36">
        <f t="shared" si="6"/>
        <v>0.13344237523339</v>
      </c>
      <c r="L97" s="36" t="s">
        <v>11</v>
      </c>
      <c r="M97" s="43">
        <v>4.66377997159713</v>
      </c>
      <c r="N97" s="43">
        <v>0.543005610985983</v>
      </c>
      <c r="O97" s="36">
        <f t="shared" si="7"/>
        <v>8.58882464055702</v>
      </c>
      <c r="P97" s="39" t="s">
        <v>12</v>
      </c>
      <c r="Q97" s="43">
        <v>-3.10241819180706</v>
      </c>
      <c r="R97" s="43">
        <v>0.433048386212969</v>
      </c>
      <c r="S97" s="39">
        <f t="shared" si="8"/>
        <v>-7.16413752037704</v>
      </c>
      <c r="T97" s="39" t="s">
        <v>13</v>
      </c>
      <c r="U97" s="43">
        <v>2.22105054244661</v>
      </c>
      <c r="V97" s="43">
        <v>4.67134119621213</v>
      </c>
      <c r="W97" s="39">
        <f t="shared" si="9"/>
        <v>0.475463137706062</v>
      </c>
      <c r="X97" s="39" t="s">
        <v>13</v>
      </c>
      <c r="Y97" s="51">
        <v>0.84087725</v>
      </c>
      <c r="Z97" s="39">
        <v>4.84767985741633</v>
      </c>
      <c r="AA97" s="39">
        <f>Y97/Z97</f>
        <v>0.173459732229133</v>
      </c>
    </row>
    <row r="98" spans="1:27">
      <c r="A98" s="35" t="s">
        <v>47</v>
      </c>
      <c r="B98" s="39"/>
      <c r="C98" s="36" t="s">
        <v>8</v>
      </c>
      <c r="D98" s="36" t="s">
        <v>9</v>
      </c>
      <c r="E98" s="43">
        <v>6.82309380248557</v>
      </c>
      <c r="F98" s="43">
        <v>1.59856965129122</v>
      </c>
      <c r="G98" s="36">
        <f t="shared" si="5"/>
        <v>4.26824930460448</v>
      </c>
      <c r="H98" s="36" t="s">
        <v>10</v>
      </c>
      <c r="I98" s="43">
        <v>1.59419831469759</v>
      </c>
      <c r="J98" s="43">
        <v>41.4055330030336</v>
      </c>
      <c r="K98" s="36">
        <f t="shared" si="6"/>
        <v>0.0385020599681881</v>
      </c>
      <c r="L98" s="36" t="s">
        <v>11</v>
      </c>
      <c r="M98" s="43">
        <v>-6.36147804843705</v>
      </c>
      <c r="N98" s="43">
        <v>0.688714058396473</v>
      </c>
      <c r="O98" s="36">
        <f t="shared" si="7"/>
        <v>-9.23674777780553</v>
      </c>
      <c r="P98" s="39" t="s">
        <v>12</v>
      </c>
      <c r="Q98" s="43">
        <v>2.52696317767446</v>
      </c>
      <c r="R98" s="43">
        <v>0.412979712347871</v>
      </c>
      <c r="S98" s="39">
        <f t="shared" si="8"/>
        <v>6.11885548398534</v>
      </c>
      <c r="T98" s="39" t="s">
        <v>13</v>
      </c>
      <c r="U98" s="43">
        <v>-2.98779192283495</v>
      </c>
      <c r="V98" s="43">
        <v>4.67134119621213</v>
      </c>
      <c r="W98" s="39">
        <f t="shared" si="9"/>
        <v>-0.639600448209108</v>
      </c>
      <c r="X98" s="39" t="s">
        <v>13</v>
      </c>
      <c r="Y98" s="51">
        <v>-3.60029783</v>
      </c>
      <c r="Z98" s="39">
        <v>10.3329197601274</v>
      </c>
      <c r="AA98" s="39">
        <f>Y98/Z98</f>
        <v>-0.348429864315099</v>
      </c>
    </row>
    <row r="99" spans="1:27">
      <c r="A99" s="35" t="s">
        <v>47</v>
      </c>
      <c r="B99" s="39"/>
      <c r="C99" s="36" t="s">
        <v>14</v>
      </c>
      <c r="D99" s="36" t="s">
        <v>9</v>
      </c>
      <c r="E99" s="43">
        <v>-1.43925860378223</v>
      </c>
      <c r="F99" s="43">
        <v>2.03864626076873</v>
      </c>
      <c r="G99" s="36">
        <f t="shared" si="5"/>
        <v>-0.705987415020944</v>
      </c>
      <c r="H99" s="36" t="s">
        <v>10</v>
      </c>
      <c r="I99" s="43">
        <v>6.44489806377426</v>
      </c>
      <c r="J99" s="43">
        <v>46.1699594223476</v>
      </c>
      <c r="K99" s="36">
        <f t="shared" si="6"/>
        <v>0.139590724020752</v>
      </c>
      <c r="L99" s="36" t="s">
        <v>11</v>
      </c>
      <c r="M99" s="43">
        <v>0.0584709085772025</v>
      </c>
      <c r="N99" s="43">
        <v>0.634447433981152</v>
      </c>
      <c r="O99" s="36">
        <f t="shared" si="7"/>
        <v>0.0921603673456413</v>
      </c>
      <c r="P99" s="39" t="s">
        <v>12</v>
      </c>
      <c r="Q99" s="43">
        <v>-4.98158499426571</v>
      </c>
      <c r="R99" s="43">
        <v>0.638397490603676</v>
      </c>
      <c r="S99" s="39">
        <f t="shared" si="8"/>
        <v>-7.80326531289317</v>
      </c>
      <c r="T99" s="39" t="s">
        <v>13</v>
      </c>
      <c r="U99" s="43">
        <v>-2.98779192283495</v>
      </c>
      <c r="V99" s="43">
        <v>4.67134119621213</v>
      </c>
      <c r="W99" s="39">
        <f t="shared" si="9"/>
        <v>-0.639600448209108</v>
      </c>
      <c r="X99" s="39" t="s">
        <v>13</v>
      </c>
      <c r="Y99" s="51">
        <v>-2.66291918</v>
      </c>
      <c r="Z99" s="39">
        <v>10.3329197601274</v>
      </c>
      <c r="AA99" s="39">
        <f>Y99/Z99</f>
        <v>-0.257712170598252</v>
      </c>
    </row>
    <row r="100" spans="1:27">
      <c r="A100" s="35" t="s">
        <v>47</v>
      </c>
      <c r="B100" s="39"/>
      <c r="C100" s="36" t="s">
        <v>15</v>
      </c>
      <c r="D100" s="36" t="s">
        <v>9</v>
      </c>
      <c r="E100" s="43">
        <v>4.83965156633775</v>
      </c>
      <c r="F100" s="43">
        <v>1.64379733966907</v>
      </c>
      <c r="G100" s="36">
        <f t="shared" si="5"/>
        <v>2.94418992508655</v>
      </c>
      <c r="H100" s="36" t="s">
        <v>10</v>
      </c>
      <c r="I100" s="43">
        <v>3.48361480731424</v>
      </c>
      <c r="J100" s="43">
        <v>64.572160236057</v>
      </c>
      <c r="K100" s="36">
        <f t="shared" si="6"/>
        <v>0.0539491755360075</v>
      </c>
      <c r="L100" s="36" t="s">
        <v>11</v>
      </c>
      <c r="M100" s="43">
        <v>-6.04086953183519</v>
      </c>
      <c r="N100" s="43">
        <v>0.543005610985983</v>
      </c>
      <c r="O100" s="36">
        <f t="shared" si="7"/>
        <v>-11.1248749729607</v>
      </c>
      <c r="P100" s="39" t="s">
        <v>12</v>
      </c>
      <c r="Q100" s="43">
        <v>-4.70057731575985</v>
      </c>
      <c r="R100" s="43">
        <v>0.433048386212969</v>
      </c>
      <c r="S100" s="39">
        <f t="shared" si="8"/>
        <v>-10.8546237912734</v>
      </c>
      <c r="T100" s="39" t="s">
        <v>13</v>
      </c>
      <c r="U100" s="43">
        <v>-1.80543481085496</v>
      </c>
      <c r="V100" s="43">
        <v>4.67134119621213</v>
      </c>
      <c r="W100" s="39">
        <f t="shared" si="9"/>
        <v>-0.386491745094308</v>
      </c>
      <c r="X100" s="39" t="s">
        <v>13</v>
      </c>
      <c r="Y100" s="51">
        <v>-1.85531702</v>
      </c>
      <c r="Z100" s="39">
        <v>10.3329197601274</v>
      </c>
      <c r="AA100" s="39">
        <f>Y100/Z100</f>
        <v>-0.179553994714958</v>
      </c>
    </row>
    <row r="101" spans="1:27">
      <c r="A101" s="35" t="s">
        <v>48</v>
      </c>
      <c r="B101" s="39"/>
      <c r="C101" s="36" t="s">
        <v>8</v>
      </c>
      <c r="D101" s="36" t="s">
        <v>9</v>
      </c>
      <c r="E101" s="43">
        <v>2.20407061501831</v>
      </c>
      <c r="F101" s="43">
        <v>1.59856965129122</v>
      </c>
      <c r="G101" s="36">
        <f t="shared" si="5"/>
        <v>1.3787767165716</v>
      </c>
      <c r="H101" s="36" t="s">
        <v>10</v>
      </c>
      <c r="I101" s="43">
        <v>-1.95821491415028</v>
      </c>
      <c r="J101" s="43">
        <v>41.4055330030336</v>
      </c>
      <c r="K101" s="36">
        <f t="shared" si="6"/>
        <v>-0.047293556491757</v>
      </c>
      <c r="L101" s="36" t="s">
        <v>11</v>
      </c>
      <c r="M101" s="43">
        <v>-1.44822600562524</v>
      </c>
      <c r="N101" s="43">
        <v>0.688714058396473</v>
      </c>
      <c r="O101" s="36">
        <f t="shared" si="7"/>
        <v>-2.10279721746516</v>
      </c>
      <c r="P101" s="39" t="s">
        <v>12</v>
      </c>
      <c r="Q101" s="43">
        <v>1.25258745814939</v>
      </c>
      <c r="R101" s="43">
        <v>0.412979712347871</v>
      </c>
      <c r="S101" s="39">
        <f t="shared" si="8"/>
        <v>3.03304840576353</v>
      </c>
      <c r="T101" s="39" t="s">
        <v>13</v>
      </c>
      <c r="U101" s="43">
        <v>4.41615406603108</v>
      </c>
      <c r="V101" s="43">
        <v>4.67134119621213</v>
      </c>
      <c r="W101" s="39">
        <f t="shared" si="9"/>
        <v>0.945371763812077</v>
      </c>
      <c r="X101" s="39" t="s">
        <v>13</v>
      </c>
      <c r="Y101" s="51">
        <v>6.6994274</v>
      </c>
      <c r="Z101" s="39">
        <v>11.48051383006</v>
      </c>
      <c r="AA101" s="39">
        <f>Y101/Z101</f>
        <v>0.583547696485375</v>
      </c>
    </row>
    <row r="102" spans="1:27">
      <c r="A102" s="35" t="s">
        <v>48</v>
      </c>
      <c r="B102" s="39"/>
      <c r="C102" s="36" t="s">
        <v>14</v>
      </c>
      <c r="D102" s="36" t="s">
        <v>9</v>
      </c>
      <c r="E102" s="43">
        <v>5.6996341941188</v>
      </c>
      <c r="F102" s="43">
        <v>2.03864626076873</v>
      </c>
      <c r="G102" s="36">
        <f t="shared" si="5"/>
        <v>2.7957936125562</v>
      </c>
      <c r="H102" s="36" t="s">
        <v>10</v>
      </c>
      <c r="I102" s="43">
        <v>0.853893605799932</v>
      </c>
      <c r="J102" s="43">
        <v>46.1699594223476</v>
      </c>
      <c r="K102" s="36">
        <f t="shared" si="6"/>
        <v>0.018494571285818</v>
      </c>
      <c r="L102" s="36" t="s">
        <v>11</v>
      </c>
      <c r="M102" s="43">
        <v>1.52397281741002</v>
      </c>
      <c r="N102" s="43">
        <v>0.634447433981152</v>
      </c>
      <c r="O102" s="36">
        <f t="shared" si="7"/>
        <v>2.40204741289141</v>
      </c>
      <c r="P102" s="39" t="s">
        <v>12</v>
      </c>
      <c r="Q102" s="43">
        <v>-7.23237620882933</v>
      </c>
      <c r="R102" s="43">
        <v>0.638397490603676</v>
      </c>
      <c r="S102" s="39">
        <f t="shared" si="8"/>
        <v>-11.3289546329362</v>
      </c>
      <c r="T102" s="39" t="s">
        <v>13</v>
      </c>
      <c r="U102" s="43">
        <v>4.41615406603108</v>
      </c>
      <c r="V102" s="43">
        <v>4.67134119621213</v>
      </c>
      <c r="W102" s="39">
        <f t="shared" si="9"/>
        <v>0.945371763812077</v>
      </c>
      <c r="X102" s="39" t="s">
        <v>13</v>
      </c>
      <c r="Y102" s="51">
        <v>2.80587513</v>
      </c>
      <c r="Z102" s="39">
        <v>11.48051383006</v>
      </c>
      <c r="AA102" s="39">
        <f>Y102/Z102</f>
        <v>0.244403270753722</v>
      </c>
    </row>
    <row r="103" spans="1:27">
      <c r="A103" s="35" t="s">
        <v>48</v>
      </c>
      <c r="B103" s="39"/>
      <c r="C103" s="36" t="s">
        <v>15</v>
      </c>
      <c r="D103" s="36" t="s">
        <v>9</v>
      </c>
      <c r="E103" s="43">
        <v>-1.33639935392611</v>
      </c>
      <c r="F103" s="43">
        <v>1.64379733966907</v>
      </c>
      <c r="G103" s="36">
        <f t="shared" si="5"/>
        <v>-0.812995204259884</v>
      </c>
      <c r="H103" s="36" t="s">
        <v>10</v>
      </c>
      <c r="I103" s="43">
        <v>6.70400156444366</v>
      </c>
      <c r="J103" s="43">
        <v>64.572160236057</v>
      </c>
      <c r="K103" s="36">
        <f t="shared" si="6"/>
        <v>0.10382185666293</v>
      </c>
      <c r="L103" s="36" t="s">
        <v>11</v>
      </c>
      <c r="M103" s="43">
        <v>0.589557723549701</v>
      </c>
      <c r="N103" s="43">
        <v>0.543005610985983</v>
      </c>
      <c r="O103" s="36">
        <f t="shared" si="7"/>
        <v>1.0857304448092</v>
      </c>
      <c r="P103" s="39" t="s">
        <v>12</v>
      </c>
      <c r="Q103" s="43">
        <v>-3.39475968103465</v>
      </c>
      <c r="R103" s="43">
        <v>0.433048386212969</v>
      </c>
      <c r="S103" s="39">
        <f t="shared" si="8"/>
        <v>-7.83921563759192</v>
      </c>
      <c r="T103" s="39" t="s">
        <v>13</v>
      </c>
      <c r="U103" s="43">
        <v>3.95660582749887</v>
      </c>
      <c r="V103" s="43">
        <v>4.67134119621213</v>
      </c>
      <c r="W103" s="39">
        <f t="shared" si="9"/>
        <v>0.846995683104283</v>
      </c>
      <c r="X103" s="39" t="s">
        <v>13</v>
      </c>
      <c r="Y103" s="51">
        <v>3.64709423</v>
      </c>
      <c r="Z103" s="39">
        <v>11.48051383006</v>
      </c>
      <c r="AA103" s="39">
        <f>Y103/Z103</f>
        <v>0.317676916206541</v>
      </c>
    </row>
    <row r="104" spans="1:27">
      <c r="A104" s="35" t="s">
        <v>49</v>
      </c>
      <c r="B104" s="39"/>
      <c r="C104" s="36" t="s">
        <v>8</v>
      </c>
      <c r="D104" s="36" t="s">
        <v>9</v>
      </c>
      <c r="E104" s="43">
        <v>-1.40254842466002</v>
      </c>
      <c r="F104" s="43">
        <v>1.59856965129122</v>
      </c>
      <c r="G104" s="36">
        <f t="shared" si="5"/>
        <v>-0.877377112424931</v>
      </c>
      <c r="H104" s="36" t="s">
        <v>10</v>
      </c>
      <c r="I104" s="43">
        <v>0.857463260389591</v>
      </c>
      <c r="J104" s="43">
        <v>41.4055330030336</v>
      </c>
      <c r="K104" s="36">
        <f t="shared" si="6"/>
        <v>0.0207089052645879</v>
      </c>
      <c r="L104" s="36" t="s">
        <v>11</v>
      </c>
      <c r="M104" s="43">
        <v>2.30936212621043</v>
      </c>
      <c r="N104" s="43">
        <v>0.688714058396473</v>
      </c>
      <c r="O104" s="36">
        <f t="shared" si="7"/>
        <v>3.35315084403431</v>
      </c>
      <c r="P104" s="39" t="s">
        <v>12</v>
      </c>
      <c r="Q104" s="43">
        <v>1.26298441992431</v>
      </c>
      <c r="R104" s="43">
        <v>0.412979712347871</v>
      </c>
      <c r="S104" s="39">
        <f t="shared" si="8"/>
        <v>3.05822388403536</v>
      </c>
      <c r="T104" s="39" t="s">
        <v>13</v>
      </c>
      <c r="U104" s="43">
        <v>-6.10207786800385</v>
      </c>
      <c r="V104" s="43">
        <v>4.67134119621213</v>
      </c>
      <c r="W104" s="39">
        <f t="shared" si="9"/>
        <v>-1.30627963398432</v>
      </c>
      <c r="X104" s="39" t="s">
        <v>13</v>
      </c>
      <c r="Y104" s="51">
        <v>-1.68925827</v>
      </c>
      <c r="Z104" s="39">
        <v>6.01828714999378</v>
      </c>
      <c r="AA104" s="39">
        <f>Y104/Z104</f>
        <v>-0.280687549114659</v>
      </c>
    </row>
    <row r="105" spans="1:27">
      <c r="A105" s="35" t="s">
        <v>49</v>
      </c>
      <c r="B105" s="39"/>
      <c r="C105" s="36" t="s">
        <v>14</v>
      </c>
      <c r="D105" s="36" t="s">
        <v>9</v>
      </c>
      <c r="E105" s="43">
        <v>-6.49911133578789</v>
      </c>
      <c r="F105" s="43">
        <v>2.03864626076873</v>
      </c>
      <c r="G105" s="36">
        <f t="shared" si="5"/>
        <v>-3.18795440918584</v>
      </c>
      <c r="H105" s="36" t="s">
        <v>10</v>
      </c>
      <c r="I105" s="43">
        <v>15.8595579952802</v>
      </c>
      <c r="J105" s="43">
        <v>46.1699594223476</v>
      </c>
      <c r="K105" s="36">
        <f t="shared" si="6"/>
        <v>0.343503832225673</v>
      </c>
      <c r="L105" s="36" t="s">
        <v>11</v>
      </c>
      <c r="M105" s="43">
        <v>-3.39083625378018</v>
      </c>
      <c r="N105" s="43">
        <v>0.634447433981152</v>
      </c>
      <c r="O105" s="36">
        <f t="shared" si="7"/>
        <v>-5.34455034754056</v>
      </c>
      <c r="P105" s="39" t="s">
        <v>12</v>
      </c>
      <c r="Q105" s="43">
        <v>4.02643017831316</v>
      </c>
      <c r="R105" s="43">
        <v>0.638397490603676</v>
      </c>
      <c r="S105" s="39">
        <f t="shared" si="8"/>
        <v>6.30708960730049</v>
      </c>
      <c r="T105" s="39" t="s">
        <v>13</v>
      </c>
      <c r="U105" s="43">
        <v>-6.10207786800385</v>
      </c>
      <c r="V105" s="43">
        <v>4.67134119621213</v>
      </c>
      <c r="W105" s="39">
        <f t="shared" si="9"/>
        <v>-1.30627963398432</v>
      </c>
      <c r="X105" s="39" t="s">
        <v>13</v>
      </c>
      <c r="Y105" s="51">
        <v>0.22123236</v>
      </c>
      <c r="Z105" s="39">
        <v>6.01828714999378</v>
      </c>
      <c r="AA105" s="39">
        <f>Y105/Z105</f>
        <v>0.0367600206647216</v>
      </c>
    </row>
    <row r="106" spans="1:27">
      <c r="A106" s="35" t="s">
        <v>49</v>
      </c>
      <c r="B106" s="39"/>
      <c r="C106" s="36" t="s">
        <v>15</v>
      </c>
      <c r="D106" s="36" t="s">
        <v>9</v>
      </c>
      <c r="E106" s="43">
        <v>-7.02402140784294</v>
      </c>
      <c r="F106" s="43">
        <v>1.64379733966907</v>
      </c>
      <c r="G106" s="36">
        <f t="shared" si="5"/>
        <v>-4.27304585445857</v>
      </c>
      <c r="H106" s="36" t="s">
        <v>10</v>
      </c>
      <c r="I106" s="43">
        <v>11.1064693979673</v>
      </c>
      <c r="J106" s="43">
        <v>64.572160236057</v>
      </c>
      <c r="K106" s="36">
        <f t="shared" si="6"/>
        <v>0.172000895701263</v>
      </c>
      <c r="L106" s="36" t="s">
        <v>11</v>
      </c>
      <c r="M106" s="43">
        <v>3.66618755076308</v>
      </c>
      <c r="N106" s="43">
        <v>0.543005610985983</v>
      </c>
      <c r="O106" s="36">
        <f t="shared" si="7"/>
        <v>6.7516568458769</v>
      </c>
      <c r="P106" s="39" t="s">
        <v>12</v>
      </c>
      <c r="Q106" s="43">
        <v>-5.56071299881933</v>
      </c>
      <c r="R106" s="43">
        <v>0.433048386212969</v>
      </c>
      <c r="S106" s="39">
        <f t="shared" si="8"/>
        <v>-12.8408583794713</v>
      </c>
      <c r="T106" s="39" t="s">
        <v>13</v>
      </c>
      <c r="U106" s="43">
        <v>4.05428179286817</v>
      </c>
      <c r="V106" s="43">
        <v>4.67134119621213</v>
      </c>
      <c r="W106" s="39">
        <f t="shared" si="9"/>
        <v>0.86790530226216</v>
      </c>
      <c r="X106" s="39" t="s">
        <v>13</v>
      </c>
      <c r="Y106" s="51">
        <v>2.09850825</v>
      </c>
      <c r="Z106" s="39">
        <v>6.01828714999378</v>
      </c>
      <c r="AA106" s="39">
        <f>Y106/Z106</f>
        <v>0.348688621479646</v>
      </c>
    </row>
    <row r="107" spans="1:27">
      <c r="A107" s="35" t="s">
        <v>50</v>
      </c>
      <c r="B107" s="39"/>
      <c r="C107" s="36" t="s">
        <v>8</v>
      </c>
      <c r="D107" s="36" t="s">
        <v>9</v>
      </c>
      <c r="E107" s="43">
        <v>9.26257692339408</v>
      </c>
      <c r="F107" s="43">
        <v>1.59856965129122</v>
      </c>
      <c r="G107" s="36">
        <f t="shared" si="5"/>
        <v>5.7942904870691</v>
      </c>
      <c r="H107" s="36" t="s">
        <v>10</v>
      </c>
      <c r="I107" s="43">
        <v>-1.55696124843237</v>
      </c>
      <c r="J107" s="43">
        <v>41.4055330030336</v>
      </c>
      <c r="K107" s="36">
        <f t="shared" si="6"/>
        <v>-0.037602734115711</v>
      </c>
      <c r="L107" s="36" t="s">
        <v>11</v>
      </c>
      <c r="M107" s="43">
        <v>0.266351457243126</v>
      </c>
      <c r="N107" s="43">
        <v>0.688714058396473</v>
      </c>
      <c r="O107" s="36">
        <f t="shared" si="7"/>
        <v>0.386737360731781</v>
      </c>
      <c r="P107" s="39" t="s">
        <v>12</v>
      </c>
      <c r="Q107" s="43">
        <v>1.47823280558083</v>
      </c>
      <c r="R107" s="43">
        <v>0.412979712347871</v>
      </c>
      <c r="S107" s="39">
        <f t="shared" si="8"/>
        <v>3.5794320190132</v>
      </c>
      <c r="T107" s="39" t="s">
        <v>13</v>
      </c>
      <c r="U107" s="43">
        <v>4.46919398963526</v>
      </c>
      <c r="V107" s="43">
        <v>4.67134119621213</v>
      </c>
      <c r="W107" s="39">
        <f t="shared" si="9"/>
        <v>0.956726088271868</v>
      </c>
      <c r="X107" s="39" t="s">
        <v>13</v>
      </c>
      <c r="Y107" s="51">
        <v>11.26270133</v>
      </c>
      <c r="Z107" s="39">
        <v>10.0856224507851</v>
      </c>
      <c r="AA107" s="39">
        <f>Y107/Z107</f>
        <v>1.1167086002831</v>
      </c>
    </row>
    <row r="108" spans="1:27">
      <c r="A108" s="35" t="s">
        <v>50</v>
      </c>
      <c r="B108" s="39"/>
      <c r="C108" s="36" t="s">
        <v>14</v>
      </c>
      <c r="D108" s="36" t="s">
        <v>9</v>
      </c>
      <c r="E108" s="43">
        <v>0.325669970392002</v>
      </c>
      <c r="F108" s="43">
        <v>2.03864626076873</v>
      </c>
      <c r="G108" s="36">
        <f t="shared" si="5"/>
        <v>0.159748150848494</v>
      </c>
      <c r="H108" s="36" t="s">
        <v>10</v>
      </c>
      <c r="I108" s="43">
        <v>7.85002838271809</v>
      </c>
      <c r="J108" s="43">
        <v>46.1699594223476</v>
      </c>
      <c r="K108" s="36">
        <f t="shared" si="6"/>
        <v>0.170024589168654</v>
      </c>
      <c r="L108" s="36" t="s">
        <v>11</v>
      </c>
      <c r="M108" s="43">
        <v>3.05155206605891</v>
      </c>
      <c r="N108" s="43">
        <v>0.634447433981152</v>
      </c>
      <c r="O108" s="36">
        <f t="shared" si="7"/>
        <v>4.80977919149337</v>
      </c>
      <c r="P108" s="39" t="s">
        <v>12</v>
      </c>
      <c r="Q108" s="43">
        <v>-5.88466212108854</v>
      </c>
      <c r="R108" s="43">
        <v>0.638397490603676</v>
      </c>
      <c r="S108" s="39">
        <f t="shared" si="8"/>
        <v>-9.21786537024752</v>
      </c>
      <c r="T108" s="39" t="s">
        <v>13</v>
      </c>
      <c r="U108" s="43">
        <v>4.46919398963526</v>
      </c>
      <c r="V108" s="43">
        <v>4.67134119621213</v>
      </c>
      <c r="W108" s="39">
        <f t="shared" si="9"/>
        <v>0.956726088271868</v>
      </c>
      <c r="X108" s="39" t="s">
        <v>13</v>
      </c>
      <c r="Y108" s="51">
        <v>5.26324588</v>
      </c>
      <c r="Z108" s="39">
        <v>10.0856224507851</v>
      </c>
      <c r="AA108" s="39">
        <f>Y108/Z108</f>
        <v>0.521856326238971</v>
      </c>
    </row>
    <row r="109" spans="1:27">
      <c r="A109" s="35" t="s">
        <v>50</v>
      </c>
      <c r="B109" s="39"/>
      <c r="C109" s="36" t="s">
        <v>15</v>
      </c>
      <c r="D109" s="36" t="s">
        <v>9</v>
      </c>
      <c r="E109" s="43">
        <v>3.34156723858327</v>
      </c>
      <c r="F109" s="43">
        <v>1.64379733966907</v>
      </c>
      <c r="G109" s="36">
        <f t="shared" si="5"/>
        <v>2.03283407141661</v>
      </c>
      <c r="H109" s="36" t="s">
        <v>10</v>
      </c>
      <c r="I109" s="43">
        <v>6.17802336705824</v>
      </c>
      <c r="J109" s="43">
        <v>64.572160236057</v>
      </c>
      <c r="K109" s="36">
        <f t="shared" si="6"/>
        <v>0.0956762689133086</v>
      </c>
      <c r="L109" s="36" t="s">
        <v>11</v>
      </c>
      <c r="M109" s="43">
        <v>4.09650020621612</v>
      </c>
      <c r="N109" s="43">
        <v>0.543005610985983</v>
      </c>
      <c r="O109" s="36">
        <f t="shared" si="7"/>
        <v>7.54412131907393</v>
      </c>
      <c r="P109" s="39" t="s">
        <v>12</v>
      </c>
      <c r="Q109" s="43">
        <v>-4.39772305983974</v>
      </c>
      <c r="R109" s="43">
        <v>0.433048386212969</v>
      </c>
      <c r="S109" s="39">
        <f t="shared" si="8"/>
        <v>-10.1552694799259</v>
      </c>
      <c r="T109" s="39" t="s">
        <v>13</v>
      </c>
      <c r="U109" s="43">
        <v>5.42842288403066</v>
      </c>
      <c r="V109" s="43">
        <v>4.67134119621213</v>
      </c>
      <c r="W109" s="39">
        <f t="shared" si="9"/>
        <v>1.16206944772787</v>
      </c>
      <c r="X109" s="39" t="s">
        <v>13</v>
      </c>
      <c r="Y109" s="51">
        <v>4.17279402</v>
      </c>
      <c r="Z109" s="39">
        <v>10.0856224507851</v>
      </c>
      <c r="AA109" s="39">
        <f>Y109/Z109</f>
        <v>0.413736885389278</v>
      </c>
    </row>
    <row r="110" spans="1:27">
      <c r="A110" s="35" t="s">
        <v>51</v>
      </c>
      <c r="B110" s="39"/>
      <c r="C110" s="36" t="s">
        <v>8</v>
      </c>
      <c r="D110" s="36" t="s">
        <v>9</v>
      </c>
      <c r="E110" s="43">
        <v>4.13156675633821</v>
      </c>
      <c r="F110" s="43">
        <v>1.59856965129122</v>
      </c>
      <c r="G110" s="36">
        <f t="shared" si="5"/>
        <v>2.58453971836698</v>
      </c>
      <c r="H110" s="36" t="s">
        <v>10</v>
      </c>
      <c r="I110" s="43">
        <v>0.586768145623904</v>
      </c>
      <c r="J110" s="43">
        <v>41.4055330030336</v>
      </c>
      <c r="K110" s="36">
        <f t="shared" si="6"/>
        <v>0.0141712496632012</v>
      </c>
      <c r="L110" s="36" t="s">
        <v>11</v>
      </c>
      <c r="M110" s="43">
        <v>-2.29108404985696</v>
      </c>
      <c r="N110" s="43">
        <v>0.688714058396473</v>
      </c>
      <c r="O110" s="36">
        <f t="shared" si="7"/>
        <v>-3.32661141721322</v>
      </c>
      <c r="P110" s="39" t="s">
        <v>12</v>
      </c>
      <c r="Q110" s="43">
        <v>0.429775612470599</v>
      </c>
      <c r="R110" s="43">
        <v>0.412979712347871</v>
      </c>
      <c r="S110" s="39">
        <f t="shared" si="8"/>
        <v>1.04067003685784</v>
      </c>
      <c r="T110" s="39" t="s">
        <v>13</v>
      </c>
      <c r="U110" s="43">
        <v>1.59956593230304</v>
      </c>
      <c r="V110" s="43">
        <v>4.67134119621213</v>
      </c>
      <c r="W110" s="39">
        <f t="shared" si="9"/>
        <v>0.342421130274125</v>
      </c>
      <c r="X110" s="39" t="s">
        <v>13</v>
      </c>
      <c r="Y110" s="51">
        <v>2.15930636</v>
      </c>
      <c r="Z110" s="39">
        <v>9.61340638991104</v>
      </c>
      <c r="AA110" s="39">
        <f>Y110/Z110</f>
        <v>0.224614072517118</v>
      </c>
    </row>
    <row r="111" spans="1:27">
      <c r="A111" s="35" t="s">
        <v>51</v>
      </c>
      <c r="B111" s="39"/>
      <c r="C111" s="36" t="s">
        <v>14</v>
      </c>
      <c r="D111" s="36" t="s">
        <v>9</v>
      </c>
      <c r="E111" s="43">
        <v>0.138045462828883</v>
      </c>
      <c r="F111" s="43">
        <v>2.03864626076873</v>
      </c>
      <c r="G111" s="36">
        <f t="shared" si="5"/>
        <v>0.0677142795615896</v>
      </c>
      <c r="H111" s="36" t="s">
        <v>10</v>
      </c>
      <c r="I111" s="43">
        <v>4.0678167166947</v>
      </c>
      <c r="J111" s="43">
        <v>46.1699594223476</v>
      </c>
      <c r="K111" s="36">
        <f t="shared" si="6"/>
        <v>0.0881052694780095</v>
      </c>
      <c r="L111" s="36" t="s">
        <v>11</v>
      </c>
      <c r="M111" s="43">
        <v>-0.725738463968038</v>
      </c>
      <c r="N111" s="43">
        <v>0.634447433981152</v>
      </c>
      <c r="O111" s="36">
        <f t="shared" si="7"/>
        <v>-1.14389061267698</v>
      </c>
      <c r="P111" s="39" t="s">
        <v>12</v>
      </c>
      <c r="Q111" s="43">
        <v>-3.25731738806537</v>
      </c>
      <c r="R111" s="43">
        <v>0.638397490603676</v>
      </c>
      <c r="S111" s="39">
        <f t="shared" si="8"/>
        <v>-5.10233426040759</v>
      </c>
      <c r="T111" s="39" t="s">
        <v>13</v>
      </c>
      <c r="U111" s="43">
        <v>1.59956593230304</v>
      </c>
      <c r="V111" s="43">
        <v>4.67134119621213</v>
      </c>
      <c r="W111" s="39">
        <f t="shared" si="9"/>
        <v>0.342421130274125</v>
      </c>
      <c r="X111" s="39" t="s">
        <v>13</v>
      </c>
      <c r="Y111" s="51">
        <v>2.41748664</v>
      </c>
      <c r="Z111" s="39">
        <v>9.61340638991104</v>
      </c>
      <c r="AA111" s="39">
        <f>Y111/Z111</f>
        <v>0.251470346924798</v>
      </c>
    </row>
    <row r="112" spans="1:27">
      <c r="A112" s="35" t="s">
        <v>51</v>
      </c>
      <c r="B112" s="39"/>
      <c r="C112" s="36" t="s">
        <v>15</v>
      </c>
      <c r="D112" s="36" t="s">
        <v>9</v>
      </c>
      <c r="E112" s="43">
        <v>1.46018035712453</v>
      </c>
      <c r="F112" s="43">
        <v>1.64379733966907</v>
      </c>
      <c r="G112" s="36">
        <f t="shared" si="5"/>
        <v>0.888297067945428</v>
      </c>
      <c r="H112" s="36" t="s">
        <v>10</v>
      </c>
      <c r="I112" s="43">
        <v>4.11741082858532</v>
      </c>
      <c r="J112" s="43">
        <v>64.572160236057</v>
      </c>
      <c r="K112" s="36">
        <f t="shared" si="6"/>
        <v>0.0637644894259889</v>
      </c>
      <c r="L112" s="36" t="s">
        <v>11</v>
      </c>
      <c r="M112" s="43">
        <v>-1.47999360740642</v>
      </c>
      <c r="N112" s="43">
        <v>0.543005610985983</v>
      </c>
      <c r="O112" s="36">
        <f t="shared" si="7"/>
        <v>-2.72555858993624</v>
      </c>
      <c r="P112" s="39" t="s">
        <v>12</v>
      </c>
      <c r="Q112" s="43">
        <v>-2.76634465024049</v>
      </c>
      <c r="R112" s="43">
        <v>0.433048386212969</v>
      </c>
      <c r="S112" s="39">
        <f t="shared" si="8"/>
        <v>-6.38807287664162</v>
      </c>
      <c r="T112" s="39" t="s">
        <v>13</v>
      </c>
      <c r="U112" s="43">
        <v>2.58543571860632</v>
      </c>
      <c r="V112" s="43">
        <v>4.67134119621213</v>
      </c>
      <c r="W112" s="39">
        <f t="shared" si="9"/>
        <v>0.553467539622835</v>
      </c>
      <c r="X112" s="39" t="s">
        <v>13</v>
      </c>
      <c r="Y112" s="51">
        <v>1.97656122</v>
      </c>
      <c r="Z112" s="39">
        <v>9.61340638991104</v>
      </c>
      <c r="AA112" s="39">
        <f>Y112/Z112</f>
        <v>0.205604667048544</v>
      </c>
    </row>
    <row r="113" spans="1:27">
      <c r="A113" s="35" t="s">
        <v>52</v>
      </c>
      <c r="B113" s="39"/>
      <c r="C113" s="36" t="s">
        <v>8</v>
      </c>
      <c r="D113" s="36" t="s">
        <v>9</v>
      </c>
      <c r="E113" s="43">
        <v>0.0509473708305425</v>
      </c>
      <c r="F113" s="43">
        <v>13.7425249551213</v>
      </c>
      <c r="G113" s="36">
        <f t="shared" si="5"/>
        <v>0.00370727875677289</v>
      </c>
      <c r="H113" s="36" t="s">
        <v>10</v>
      </c>
      <c r="I113" s="43">
        <v>-1.86531889476256</v>
      </c>
      <c r="J113" s="43">
        <v>50.8069044369123</v>
      </c>
      <c r="K113" s="36">
        <f t="shared" si="6"/>
        <v>-0.0367138859459299</v>
      </c>
      <c r="L113" s="36" t="s">
        <v>11</v>
      </c>
      <c r="M113" s="43">
        <v>2.39781768136699</v>
      </c>
      <c r="N113" s="43">
        <v>0.572144577627773</v>
      </c>
      <c r="O113" s="36">
        <f t="shared" si="7"/>
        <v>4.19092966205994</v>
      </c>
      <c r="P113" s="39" t="s">
        <v>12</v>
      </c>
      <c r="Q113" s="43">
        <v>2.21026248723554</v>
      </c>
      <c r="R113" s="43">
        <v>0.525530752120072</v>
      </c>
      <c r="S113" s="39">
        <f t="shared" si="8"/>
        <v>4.20577193307718</v>
      </c>
      <c r="T113" s="39" t="s">
        <v>13</v>
      </c>
      <c r="U113" s="43">
        <v>4.78355308100631</v>
      </c>
      <c r="V113" s="43">
        <v>3.88594798163541</v>
      </c>
      <c r="W113" s="39">
        <f t="shared" si="9"/>
        <v>1.23098742021584</v>
      </c>
      <c r="X113" s="39" t="s">
        <v>13</v>
      </c>
      <c r="Y113" s="39">
        <v>0.58740412</v>
      </c>
      <c r="Z113" s="39">
        <v>4.04462289453224</v>
      </c>
      <c r="AA113" s="39">
        <f>Y113/Z113</f>
        <v>0.145230874501078</v>
      </c>
    </row>
    <row r="114" spans="1:27">
      <c r="A114" s="35" t="s">
        <v>52</v>
      </c>
      <c r="B114" s="39"/>
      <c r="C114" s="36" t="s">
        <v>14</v>
      </c>
      <c r="D114" s="36" t="s">
        <v>9</v>
      </c>
      <c r="E114" s="43">
        <v>2.05645638992691</v>
      </c>
      <c r="F114" s="43">
        <v>30.0772541532772</v>
      </c>
      <c r="G114" s="36">
        <f t="shared" si="5"/>
        <v>0.0683724777350675</v>
      </c>
      <c r="H114" s="36" t="s">
        <v>10</v>
      </c>
      <c r="I114" s="43">
        <v>4.75741757056873</v>
      </c>
      <c r="J114" s="43">
        <v>44.3532778319469</v>
      </c>
      <c r="K114" s="36">
        <f t="shared" si="6"/>
        <v>0.107261916212696</v>
      </c>
      <c r="L114" s="36" t="s">
        <v>11</v>
      </c>
      <c r="M114" s="43">
        <v>1.37112189676443</v>
      </c>
      <c r="N114" s="43">
        <v>0.496399218592631</v>
      </c>
      <c r="O114" s="36">
        <f t="shared" si="7"/>
        <v>2.76213548573218</v>
      </c>
      <c r="P114" s="39" t="s">
        <v>12</v>
      </c>
      <c r="Q114" s="43">
        <v>-0.934860243116921</v>
      </c>
      <c r="R114" s="43">
        <v>0.743060784325391</v>
      </c>
      <c r="S114" s="39">
        <f t="shared" si="8"/>
        <v>-1.25812081977339</v>
      </c>
      <c r="T114" s="39" t="s">
        <v>13</v>
      </c>
      <c r="U114" s="43">
        <v>4.78355308100631</v>
      </c>
      <c r="V114" s="43">
        <v>3.88594798163541</v>
      </c>
      <c r="W114" s="39">
        <f t="shared" si="9"/>
        <v>1.23098742021584</v>
      </c>
      <c r="X114" s="39" t="s">
        <v>13</v>
      </c>
      <c r="Y114" s="39">
        <v>0.88927429</v>
      </c>
      <c r="Z114" s="39">
        <v>4.04462289453224</v>
      </c>
      <c r="AA114" s="39">
        <f>Y114/Z114</f>
        <v>0.219865810284112</v>
      </c>
    </row>
    <row r="115" spans="1:27">
      <c r="A115" s="35" t="s">
        <v>52</v>
      </c>
      <c r="B115" s="39"/>
      <c r="C115" s="36" t="s">
        <v>15</v>
      </c>
      <c r="D115" s="36" t="s">
        <v>9</v>
      </c>
      <c r="E115" s="43">
        <v>1.76048786154206</v>
      </c>
      <c r="F115" s="43">
        <v>19.0493274101926</v>
      </c>
      <c r="G115" s="36">
        <f t="shared" si="5"/>
        <v>0.092417323910349</v>
      </c>
      <c r="H115" s="36" t="s">
        <v>10</v>
      </c>
      <c r="I115" s="43">
        <v>1.16601053191999</v>
      </c>
      <c r="J115" s="43">
        <v>70.1827706903564</v>
      </c>
      <c r="K115" s="36">
        <f t="shared" si="6"/>
        <v>0.0166139142192659</v>
      </c>
      <c r="L115" s="36" t="s">
        <v>11</v>
      </c>
      <c r="M115" s="43">
        <v>0.771248108374845</v>
      </c>
      <c r="N115" s="43">
        <v>0.456504142357036</v>
      </c>
      <c r="O115" s="36">
        <f t="shared" si="7"/>
        <v>1.68946573933089</v>
      </c>
      <c r="P115" s="39" t="s">
        <v>12</v>
      </c>
      <c r="Q115" s="43">
        <v>-1.16386070135273</v>
      </c>
      <c r="R115" s="43">
        <v>0.540884471216604</v>
      </c>
      <c r="S115" s="39">
        <f t="shared" si="8"/>
        <v>-2.15177318501098</v>
      </c>
      <c r="T115" s="39" t="s">
        <v>13</v>
      </c>
      <c r="U115" s="43">
        <v>1.01714803222741</v>
      </c>
      <c r="V115" s="43">
        <v>3.88594798163541</v>
      </c>
      <c r="W115" s="39">
        <f t="shared" si="9"/>
        <v>0.261750295432246</v>
      </c>
      <c r="X115" s="39" t="s">
        <v>13</v>
      </c>
      <c r="Y115" s="39">
        <v>1.23988139</v>
      </c>
      <c r="Z115" s="39">
        <v>4.04462289453224</v>
      </c>
      <c r="AA115" s="39">
        <f>Y115/Z115</f>
        <v>0.306550554237367</v>
      </c>
    </row>
    <row r="116" spans="1:27">
      <c r="A116" s="35" t="s">
        <v>53</v>
      </c>
      <c r="B116" s="39"/>
      <c r="C116" s="36" t="s">
        <v>8</v>
      </c>
      <c r="D116" s="36" t="s">
        <v>9</v>
      </c>
      <c r="E116" s="43">
        <v>-0.560265843552695</v>
      </c>
      <c r="F116" s="43">
        <v>13.7425249551213</v>
      </c>
      <c r="G116" s="36">
        <f t="shared" si="5"/>
        <v>-0.0407687703229461</v>
      </c>
      <c r="H116" s="36" t="s">
        <v>10</v>
      </c>
      <c r="I116" s="43">
        <v>-1.33793851065056</v>
      </c>
      <c r="J116" s="43">
        <v>50.8069044369123</v>
      </c>
      <c r="K116" s="36">
        <f t="shared" si="6"/>
        <v>-0.0263337931227811</v>
      </c>
      <c r="L116" s="36" t="s">
        <v>11</v>
      </c>
      <c r="M116" s="43">
        <v>-2.80853866514095</v>
      </c>
      <c r="N116" s="43">
        <v>0.572144577627773</v>
      </c>
      <c r="O116" s="36">
        <f t="shared" si="7"/>
        <v>-4.90879189449932</v>
      </c>
      <c r="P116" s="39" t="s">
        <v>12</v>
      </c>
      <c r="Q116" s="43">
        <v>-1.77102771638012</v>
      </c>
      <c r="R116" s="43">
        <v>0.525530752120072</v>
      </c>
      <c r="S116" s="39">
        <f t="shared" si="8"/>
        <v>-3.36997922430899</v>
      </c>
      <c r="T116" s="39" t="s">
        <v>13</v>
      </c>
      <c r="U116" s="43">
        <v>-0.742964008402816</v>
      </c>
      <c r="V116" s="43">
        <v>3.88594798163541</v>
      </c>
      <c r="W116" s="39">
        <f t="shared" si="9"/>
        <v>-0.191192473989355</v>
      </c>
      <c r="X116" s="39" t="s">
        <v>13</v>
      </c>
      <c r="Y116" s="39">
        <v>0.08064091</v>
      </c>
      <c r="Z116" s="39">
        <v>2.59437260831385</v>
      </c>
      <c r="AA116" s="39">
        <f>Y116/Z116</f>
        <v>0.0310830101048633</v>
      </c>
    </row>
    <row r="117" spans="1:27">
      <c r="A117" s="35" t="s">
        <v>53</v>
      </c>
      <c r="B117" s="39"/>
      <c r="C117" s="36" t="s">
        <v>14</v>
      </c>
      <c r="D117" s="36" t="s">
        <v>9</v>
      </c>
      <c r="E117" s="43">
        <v>1.86693181753281</v>
      </c>
      <c r="F117" s="43">
        <v>30.0772541532772</v>
      </c>
      <c r="G117" s="36">
        <f t="shared" si="5"/>
        <v>0.0620712186032245</v>
      </c>
      <c r="H117" s="36" t="s">
        <v>10</v>
      </c>
      <c r="I117" s="43">
        <v>-2.31951074712719</v>
      </c>
      <c r="J117" s="43">
        <v>44.3532778319469</v>
      </c>
      <c r="K117" s="36">
        <f t="shared" si="6"/>
        <v>-0.0522962644590945</v>
      </c>
      <c r="L117" s="36" t="s">
        <v>11</v>
      </c>
      <c r="M117" s="43">
        <v>-0.349517753790238</v>
      </c>
      <c r="N117" s="43">
        <v>0.496399218592631</v>
      </c>
      <c r="O117" s="36">
        <f t="shared" si="7"/>
        <v>-0.704106172409326</v>
      </c>
      <c r="P117" s="39" t="s">
        <v>12</v>
      </c>
      <c r="Q117" s="43">
        <v>-1.69535161671011</v>
      </c>
      <c r="R117" s="43">
        <v>0.743060784325391</v>
      </c>
      <c r="S117" s="39">
        <f t="shared" si="8"/>
        <v>-2.2815786439992</v>
      </c>
      <c r="T117" s="39" t="s">
        <v>13</v>
      </c>
      <c r="U117" s="43">
        <v>-0.742964008402816</v>
      </c>
      <c r="V117" s="43">
        <v>3.88594798163541</v>
      </c>
      <c r="W117" s="39">
        <f t="shared" si="9"/>
        <v>-0.191192473989355</v>
      </c>
      <c r="X117" s="39" t="s">
        <v>13</v>
      </c>
      <c r="Y117" s="39">
        <v>-2.07614019</v>
      </c>
      <c r="Z117" s="39">
        <v>2.59437260831385</v>
      </c>
      <c r="AA117" s="39">
        <f>Y117/Z117</f>
        <v>-0.800247498507679</v>
      </c>
    </row>
    <row r="118" spans="1:27">
      <c r="A118" s="35" t="s">
        <v>53</v>
      </c>
      <c r="B118" s="39"/>
      <c r="C118" s="36" t="s">
        <v>15</v>
      </c>
      <c r="D118" s="36" t="s">
        <v>9</v>
      </c>
      <c r="E118" s="43">
        <v>1.52411319662176</v>
      </c>
      <c r="F118" s="43">
        <v>19.0493274101926</v>
      </c>
      <c r="G118" s="36">
        <f t="shared" si="5"/>
        <v>0.0800087669135375</v>
      </c>
      <c r="H118" s="36" t="s">
        <v>10</v>
      </c>
      <c r="I118" s="43">
        <v>-2.8644558258397</v>
      </c>
      <c r="J118" s="43">
        <v>70.1827706903564</v>
      </c>
      <c r="K118" s="36">
        <f t="shared" si="6"/>
        <v>-0.0408142311519385</v>
      </c>
      <c r="L118" s="36" t="s">
        <v>11</v>
      </c>
      <c r="M118" s="43">
        <v>-2.87811615807066</v>
      </c>
      <c r="N118" s="43">
        <v>0.456504142357036</v>
      </c>
      <c r="O118" s="36">
        <f t="shared" si="7"/>
        <v>-6.30468793384937</v>
      </c>
      <c r="P118" s="39" t="s">
        <v>12</v>
      </c>
      <c r="Q118" s="43">
        <v>-2.64767452600903</v>
      </c>
      <c r="R118" s="43">
        <v>0.540884471216604</v>
      </c>
      <c r="S118" s="39">
        <f t="shared" si="8"/>
        <v>-4.89508326991465</v>
      </c>
      <c r="T118" s="39" t="s">
        <v>13</v>
      </c>
      <c r="U118" s="43">
        <v>-0.878552853265744</v>
      </c>
      <c r="V118" s="43">
        <v>3.88594798163541</v>
      </c>
      <c r="W118" s="39">
        <f t="shared" si="9"/>
        <v>-0.226084563513895</v>
      </c>
      <c r="X118" s="39" t="s">
        <v>13</v>
      </c>
      <c r="Y118" s="39">
        <v>-1.30821164</v>
      </c>
      <c r="Z118" s="39">
        <v>2.59437260831385</v>
      </c>
      <c r="AA118" s="39">
        <f>Y118/Z118</f>
        <v>-0.504249711783012</v>
      </c>
    </row>
    <row r="119" spans="1:27">
      <c r="A119" s="35" t="s">
        <v>54</v>
      </c>
      <c r="B119" s="39"/>
      <c r="C119" s="36" t="s">
        <v>8</v>
      </c>
      <c r="D119" s="36" t="s">
        <v>9</v>
      </c>
      <c r="E119" s="43">
        <v>0.779173807003048</v>
      </c>
      <c r="F119" s="43">
        <v>13.7425249551213</v>
      </c>
      <c r="G119" s="36">
        <f t="shared" si="5"/>
        <v>0.0566980092484882</v>
      </c>
      <c r="H119" s="36" t="s">
        <v>10</v>
      </c>
      <c r="I119" s="43">
        <v>-0.407940722331688</v>
      </c>
      <c r="J119" s="43">
        <v>50.8069044369123</v>
      </c>
      <c r="K119" s="36">
        <f t="shared" si="6"/>
        <v>-0.00802923789301578</v>
      </c>
      <c r="L119" s="36" t="s">
        <v>11</v>
      </c>
      <c r="M119" s="43">
        <v>0.544825546307223</v>
      </c>
      <c r="N119" s="43">
        <v>0.572144577627773</v>
      </c>
      <c r="O119" s="36">
        <f t="shared" si="7"/>
        <v>0.952251524546785</v>
      </c>
      <c r="P119" s="39" t="s">
        <v>12</v>
      </c>
      <c r="Q119" s="43">
        <v>0.812640993637809</v>
      </c>
      <c r="R119" s="43">
        <v>0.525530752120072</v>
      </c>
      <c r="S119" s="39">
        <f t="shared" si="8"/>
        <v>1.54632434041108</v>
      </c>
      <c r="T119" s="39" t="s">
        <v>13</v>
      </c>
      <c r="U119" s="43">
        <v>3.6248393036463</v>
      </c>
      <c r="V119" s="43">
        <v>3.88594798163541</v>
      </c>
      <c r="W119" s="39">
        <f t="shared" si="9"/>
        <v>0.932806954899272</v>
      </c>
      <c r="X119" s="39" t="s">
        <v>13</v>
      </c>
      <c r="Y119" s="39">
        <v>1.98048057</v>
      </c>
      <c r="Z119" s="39">
        <v>3.78932373372537</v>
      </c>
      <c r="AA119" s="39">
        <f>Y119/Z119</f>
        <v>0.522647498384348</v>
      </c>
    </row>
    <row r="120" spans="1:27">
      <c r="A120" s="35" t="s">
        <v>54</v>
      </c>
      <c r="B120" s="39"/>
      <c r="C120" s="36" t="s">
        <v>14</v>
      </c>
      <c r="D120" s="36" t="s">
        <v>9</v>
      </c>
      <c r="E120" s="43">
        <v>1.13396518122823</v>
      </c>
      <c r="F120" s="43">
        <v>30.0772541532772</v>
      </c>
      <c r="G120" s="36">
        <f t="shared" si="5"/>
        <v>0.0377017521429786</v>
      </c>
      <c r="H120" s="36" t="s">
        <v>10</v>
      </c>
      <c r="I120" s="43">
        <v>1.97794821780924</v>
      </c>
      <c r="J120" s="43">
        <v>44.3532778319469</v>
      </c>
      <c r="K120" s="36">
        <f t="shared" si="6"/>
        <v>0.0445953109779985</v>
      </c>
      <c r="L120" s="36" t="s">
        <v>11</v>
      </c>
      <c r="M120" s="43">
        <v>1.0242862776108</v>
      </c>
      <c r="N120" s="43">
        <v>0.496399218592631</v>
      </c>
      <c r="O120" s="36">
        <f t="shared" si="7"/>
        <v>2.06343249394069</v>
      </c>
      <c r="P120" s="39" t="s">
        <v>12</v>
      </c>
      <c r="Q120" s="43">
        <v>-1.61899695322617</v>
      </c>
      <c r="R120" s="43">
        <v>0.743060784325391</v>
      </c>
      <c r="S120" s="39">
        <f t="shared" si="8"/>
        <v>-2.1788216891247</v>
      </c>
      <c r="T120" s="39" t="s">
        <v>13</v>
      </c>
      <c r="U120" s="43">
        <v>3.6248393036463</v>
      </c>
      <c r="V120" s="43">
        <v>3.88594798163541</v>
      </c>
      <c r="W120" s="39">
        <f t="shared" si="9"/>
        <v>0.932806954899272</v>
      </c>
      <c r="X120" s="39" t="s">
        <v>13</v>
      </c>
      <c r="Y120" s="39">
        <v>1.93525358</v>
      </c>
      <c r="Z120" s="39">
        <v>3.78932373372537</v>
      </c>
      <c r="AA120" s="39">
        <f>Y120/Z120</f>
        <v>0.510712125959586</v>
      </c>
    </row>
    <row r="121" spans="1:27">
      <c r="A121" s="35" t="s">
        <v>54</v>
      </c>
      <c r="B121" s="39"/>
      <c r="C121" s="36" t="s">
        <v>15</v>
      </c>
      <c r="D121" s="36" t="s">
        <v>9</v>
      </c>
      <c r="E121" s="43">
        <v>1.91327910749452</v>
      </c>
      <c r="F121" s="43">
        <v>19.0493274101926</v>
      </c>
      <c r="G121" s="36">
        <f t="shared" si="5"/>
        <v>0.100438144943154</v>
      </c>
      <c r="H121" s="36" t="s">
        <v>10</v>
      </c>
      <c r="I121" s="43">
        <v>0.842942329148925</v>
      </c>
      <c r="J121" s="43">
        <v>70.1827706903564</v>
      </c>
      <c r="K121" s="36">
        <f t="shared" si="6"/>
        <v>0.0120106732871512</v>
      </c>
      <c r="L121" s="36" t="s">
        <v>11</v>
      </c>
      <c r="M121" s="43">
        <v>0.834000187788026</v>
      </c>
      <c r="N121" s="43">
        <v>0.456504142357036</v>
      </c>
      <c r="O121" s="36">
        <f t="shared" si="7"/>
        <v>1.82692797371321</v>
      </c>
      <c r="P121" s="39" t="s">
        <v>12</v>
      </c>
      <c r="Q121" s="43">
        <v>-1.49602253199789</v>
      </c>
      <c r="R121" s="43">
        <v>0.540884471216604</v>
      </c>
      <c r="S121" s="39">
        <f t="shared" si="8"/>
        <v>-2.76588183172075</v>
      </c>
      <c r="T121" s="39" t="s">
        <v>13</v>
      </c>
      <c r="U121" s="43">
        <v>1.9584507004575</v>
      </c>
      <c r="V121" s="43">
        <v>3.88594798163541</v>
      </c>
      <c r="W121" s="39">
        <f t="shared" si="9"/>
        <v>0.503982737214429</v>
      </c>
      <c r="X121" s="39" t="s">
        <v>13</v>
      </c>
      <c r="Y121" s="39">
        <v>2.13250135</v>
      </c>
      <c r="Z121" s="39">
        <v>3.78932373372537</v>
      </c>
      <c r="AA121" s="39">
        <f>Y121/Z121</f>
        <v>0.562765680593748</v>
      </c>
    </row>
    <row r="122" spans="1:27">
      <c r="A122" s="35" t="s">
        <v>55</v>
      </c>
      <c r="B122" s="39"/>
      <c r="C122" s="36" t="s">
        <v>8</v>
      </c>
      <c r="D122" s="36" t="s">
        <v>9</v>
      </c>
      <c r="E122" s="43">
        <v>0.396334467730637</v>
      </c>
      <c r="F122" s="43">
        <v>13.7425249551213</v>
      </c>
      <c r="G122" s="36">
        <f t="shared" si="5"/>
        <v>0.0288400034946226</v>
      </c>
      <c r="H122" s="36" t="s">
        <v>10</v>
      </c>
      <c r="I122" s="43">
        <v>-3.03356657569736</v>
      </c>
      <c r="J122" s="43">
        <v>50.8069044369123</v>
      </c>
      <c r="K122" s="36">
        <f t="shared" si="6"/>
        <v>-0.0597077623468319</v>
      </c>
      <c r="L122" s="36" t="s">
        <v>11</v>
      </c>
      <c r="M122" s="43">
        <v>-2.46136621996954</v>
      </c>
      <c r="N122" s="43">
        <v>0.572144577627773</v>
      </c>
      <c r="O122" s="36">
        <f t="shared" si="7"/>
        <v>-4.30200043173504</v>
      </c>
      <c r="P122" s="39" t="s">
        <v>12</v>
      </c>
      <c r="Q122" s="43">
        <v>-0.546049916726284</v>
      </c>
      <c r="R122" s="43">
        <v>0.525530752120072</v>
      </c>
      <c r="S122" s="39">
        <f t="shared" si="8"/>
        <v>-1.03904465061927</v>
      </c>
      <c r="T122" s="39" t="s">
        <v>13</v>
      </c>
      <c r="U122" s="43">
        <v>1.35938902272551</v>
      </c>
      <c r="V122" s="43">
        <v>3.88594798163541</v>
      </c>
      <c r="W122" s="39">
        <f t="shared" si="9"/>
        <v>0.349821724106921</v>
      </c>
      <c r="X122" s="39" t="s">
        <v>13</v>
      </c>
      <c r="Y122" s="39">
        <v>2.21964329</v>
      </c>
      <c r="Z122" s="39">
        <v>5.35652011032421</v>
      </c>
      <c r="AA122" s="39">
        <f>Y122/Z122</f>
        <v>0.414381584365162</v>
      </c>
    </row>
    <row r="123" spans="1:27">
      <c r="A123" s="35" t="s">
        <v>55</v>
      </c>
      <c r="B123" s="39"/>
      <c r="C123" s="36" t="s">
        <v>14</v>
      </c>
      <c r="D123" s="36" t="s">
        <v>9</v>
      </c>
      <c r="E123" s="43">
        <v>-0.485710271167443</v>
      </c>
      <c r="F123" s="43">
        <v>30.0772541532772</v>
      </c>
      <c r="G123" s="36">
        <f t="shared" si="5"/>
        <v>-0.0161487570870734</v>
      </c>
      <c r="H123" s="36" t="s">
        <v>10</v>
      </c>
      <c r="I123" s="43">
        <v>0.593389895477685</v>
      </c>
      <c r="J123" s="43">
        <v>44.3532778319469</v>
      </c>
      <c r="K123" s="36">
        <f t="shared" si="6"/>
        <v>0.0133787157225678</v>
      </c>
      <c r="L123" s="36" t="s">
        <v>11</v>
      </c>
      <c r="M123" s="43">
        <v>2.09610789802712</v>
      </c>
      <c r="N123" s="43">
        <v>0.496399218592631</v>
      </c>
      <c r="O123" s="36">
        <f t="shared" si="7"/>
        <v>4.2226252973764</v>
      </c>
      <c r="P123" s="39" t="s">
        <v>12</v>
      </c>
      <c r="Q123" s="43">
        <v>2.19938769317062</v>
      </c>
      <c r="R123" s="43">
        <v>0.743060784325391</v>
      </c>
      <c r="S123" s="39">
        <f t="shared" si="8"/>
        <v>2.95990279606452</v>
      </c>
      <c r="T123" s="39" t="s">
        <v>13</v>
      </c>
      <c r="U123" s="43">
        <v>1.35938902272551</v>
      </c>
      <c r="V123" s="43">
        <v>3.88594798163541</v>
      </c>
      <c r="W123" s="39">
        <f t="shared" si="9"/>
        <v>0.349821724106921</v>
      </c>
      <c r="X123" s="39" t="s">
        <v>13</v>
      </c>
      <c r="Y123" s="39">
        <v>1.44009276</v>
      </c>
      <c r="Z123" s="39">
        <v>5.35652011032421</v>
      </c>
      <c r="AA123" s="39">
        <f>Y123/Z123</f>
        <v>0.268848567790187</v>
      </c>
    </row>
    <row r="124" spans="1:27">
      <c r="A124" s="35" t="s">
        <v>55</v>
      </c>
      <c r="B124" s="39"/>
      <c r="C124" s="36" t="s">
        <v>15</v>
      </c>
      <c r="D124" s="36" t="s">
        <v>9</v>
      </c>
      <c r="E124" s="43">
        <v>1.17612618131161</v>
      </c>
      <c r="F124" s="43">
        <v>19.0493274101926</v>
      </c>
      <c r="G124" s="36">
        <f t="shared" si="5"/>
        <v>0.0617410870203379</v>
      </c>
      <c r="H124" s="36" t="s">
        <v>10</v>
      </c>
      <c r="I124" s="43">
        <v>-2.02705666996171</v>
      </c>
      <c r="J124" s="43">
        <v>70.1827706903564</v>
      </c>
      <c r="K124" s="36">
        <f t="shared" si="6"/>
        <v>-0.0288825398316775</v>
      </c>
      <c r="L124" s="36" t="s">
        <v>11</v>
      </c>
      <c r="M124" s="43">
        <v>-1.08024580826037</v>
      </c>
      <c r="N124" s="43">
        <v>0.456504142357036</v>
      </c>
      <c r="O124" s="36">
        <f t="shared" si="7"/>
        <v>-2.36634393432404</v>
      </c>
      <c r="P124" s="39" t="s">
        <v>12</v>
      </c>
      <c r="Q124" s="43">
        <v>-1.29830104602876</v>
      </c>
      <c r="R124" s="43">
        <v>0.540884471216604</v>
      </c>
      <c r="S124" s="39">
        <f t="shared" si="8"/>
        <v>-2.40032967318975</v>
      </c>
      <c r="T124" s="39" t="s">
        <v>13</v>
      </c>
      <c r="U124" s="43">
        <v>1.96311041844355</v>
      </c>
      <c r="V124" s="43">
        <v>3.88594798163541</v>
      </c>
      <c r="W124" s="39">
        <f t="shared" si="9"/>
        <v>0.505181857225317</v>
      </c>
      <c r="X124" s="39" t="s">
        <v>13</v>
      </c>
      <c r="Y124" s="39">
        <v>1.90169366</v>
      </c>
      <c r="Z124" s="39">
        <v>5.35652011032421</v>
      </c>
      <c r="AA124" s="39">
        <f>Y124/Z124</f>
        <v>0.355024086689165</v>
      </c>
    </row>
    <row r="125" spans="1:27">
      <c r="A125" s="35" t="s">
        <v>56</v>
      </c>
      <c r="B125" s="39"/>
      <c r="C125" s="36" t="s">
        <v>8</v>
      </c>
      <c r="D125" s="36" t="s">
        <v>9</v>
      </c>
      <c r="E125" s="43">
        <v>4.98639564763975</v>
      </c>
      <c r="F125" s="43">
        <v>13.7425249551213</v>
      </c>
      <c r="G125" s="36">
        <f t="shared" si="5"/>
        <v>0.362844212684621</v>
      </c>
      <c r="H125" s="36" t="s">
        <v>10</v>
      </c>
      <c r="I125" s="43">
        <v>3.6462560903705</v>
      </c>
      <c r="J125" s="43">
        <v>50.8069044369123</v>
      </c>
      <c r="K125" s="36">
        <f t="shared" si="6"/>
        <v>0.0717669405523045</v>
      </c>
      <c r="L125" s="36" t="s">
        <v>11</v>
      </c>
      <c r="M125" s="43">
        <v>5.379126689365</v>
      </c>
      <c r="N125" s="43">
        <v>0.572144577627773</v>
      </c>
      <c r="O125" s="36">
        <f t="shared" si="7"/>
        <v>9.40169128521316</v>
      </c>
      <c r="P125" s="39" t="s">
        <v>12</v>
      </c>
      <c r="Q125" s="43">
        <v>-1.14682402743526</v>
      </c>
      <c r="R125" s="43">
        <v>0.525530752120072</v>
      </c>
      <c r="S125" s="39">
        <f t="shared" si="8"/>
        <v>-2.18222058901177</v>
      </c>
      <c r="T125" s="39" t="s">
        <v>13</v>
      </c>
      <c r="U125" s="43">
        <v>-5.96269910954303</v>
      </c>
      <c r="V125" s="43">
        <v>3.88594798163541</v>
      </c>
      <c r="W125" s="39">
        <f t="shared" si="9"/>
        <v>-1.53442586924018</v>
      </c>
      <c r="X125" s="39" t="s">
        <v>13</v>
      </c>
      <c r="Y125" s="39">
        <v>1.47924594</v>
      </c>
      <c r="Z125" s="39">
        <v>4.82381910618866</v>
      </c>
      <c r="AA125" s="39">
        <f>Y125/Z125</f>
        <v>0.306654521539213</v>
      </c>
    </row>
    <row r="126" spans="1:27">
      <c r="A126" s="35" t="s">
        <v>56</v>
      </c>
      <c r="B126" s="39"/>
      <c r="C126" s="36" t="s">
        <v>14</v>
      </c>
      <c r="D126" s="36" t="s">
        <v>9</v>
      </c>
      <c r="E126" s="43">
        <v>7.1280293655533</v>
      </c>
      <c r="F126" s="43">
        <v>30.0772541532772</v>
      </c>
      <c r="G126" s="36">
        <f t="shared" si="5"/>
        <v>0.236990695002543</v>
      </c>
      <c r="H126" s="36" t="s">
        <v>10</v>
      </c>
      <c r="I126" s="43">
        <v>-11.3404719830525</v>
      </c>
      <c r="J126" s="43">
        <v>44.3532778319469</v>
      </c>
      <c r="K126" s="36">
        <f t="shared" si="6"/>
        <v>-0.255685093354795</v>
      </c>
      <c r="L126" s="36" t="s">
        <v>11</v>
      </c>
      <c r="M126" s="43">
        <v>-0.199148541506908</v>
      </c>
      <c r="N126" s="43">
        <v>0.496399218592631</v>
      </c>
      <c r="O126" s="36">
        <f t="shared" si="7"/>
        <v>-0.401186251000808</v>
      </c>
      <c r="P126" s="39" t="s">
        <v>12</v>
      </c>
      <c r="Q126" s="43">
        <v>-3.0416864844145</v>
      </c>
      <c r="R126" s="43">
        <v>0.743060784325391</v>
      </c>
      <c r="S126" s="39">
        <f t="shared" si="8"/>
        <v>-4.09345580950821</v>
      </c>
      <c r="T126" s="39" t="s">
        <v>13</v>
      </c>
      <c r="U126" s="43">
        <v>-5.96269910954303</v>
      </c>
      <c r="V126" s="43">
        <v>3.88594798163541</v>
      </c>
      <c r="W126" s="39">
        <f t="shared" si="9"/>
        <v>-1.53442586924018</v>
      </c>
      <c r="X126" s="39" t="s">
        <v>13</v>
      </c>
      <c r="Y126" s="39">
        <v>-0.83438067</v>
      </c>
      <c r="Z126" s="39">
        <v>4.82381910618866</v>
      </c>
      <c r="AA126" s="39">
        <f>Y126/Z126</f>
        <v>-0.172970970020319</v>
      </c>
    </row>
    <row r="127" spans="1:27">
      <c r="A127" s="35" t="s">
        <v>56</v>
      </c>
      <c r="B127" s="39"/>
      <c r="C127" s="36" t="s">
        <v>15</v>
      </c>
      <c r="D127" s="36" t="s">
        <v>9</v>
      </c>
      <c r="E127" s="43">
        <v>5.1979788028565</v>
      </c>
      <c r="F127" s="43">
        <v>19.0493274101926</v>
      </c>
      <c r="G127" s="36">
        <f t="shared" si="5"/>
        <v>0.272869413755535</v>
      </c>
      <c r="H127" s="36" t="s">
        <v>10</v>
      </c>
      <c r="I127" s="43">
        <v>-2.27918139135216</v>
      </c>
      <c r="J127" s="43">
        <v>70.1827706903564</v>
      </c>
      <c r="K127" s="36">
        <f t="shared" si="6"/>
        <v>-0.0324749417689395</v>
      </c>
      <c r="L127" s="36" t="s">
        <v>11</v>
      </c>
      <c r="M127" s="43">
        <v>2.7460479662608</v>
      </c>
      <c r="N127" s="43">
        <v>0.456504142357036</v>
      </c>
      <c r="O127" s="36">
        <f t="shared" si="7"/>
        <v>6.01538455288121</v>
      </c>
      <c r="P127" s="39" t="s">
        <v>12</v>
      </c>
      <c r="Q127" s="43">
        <v>1.14689182781186</v>
      </c>
      <c r="R127" s="43">
        <v>0.540884471216604</v>
      </c>
      <c r="S127" s="39">
        <f t="shared" si="8"/>
        <v>2.12040073036701</v>
      </c>
      <c r="T127" s="39" t="s">
        <v>13</v>
      </c>
      <c r="U127" s="43">
        <v>-0.465336782072203</v>
      </c>
      <c r="V127" s="43">
        <v>3.88594798163541</v>
      </c>
      <c r="W127" s="39">
        <f t="shared" si="9"/>
        <v>-0.11974858754449</v>
      </c>
      <c r="X127" s="39" t="s">
        <v>13</v>
      </c>
      <c r="Y127" s="39">
        <v>2.11337834</v>
      </c>
      <c r="Z127" s="39">
        <v>4.82381910618866</v>
      </c>
      <c r="AA127" s="39">
        <f>Y127/Z127</f>
        <v>0.438113099491784</v>
      </c>
    </row>
    <row r="128" spans="1:27">
      <c r="A128" s="35" t="s">
        <v>57</v>
      </c>
      <c r="B128" s="39"/>
      <c r="C128" s="36" t="s">
        <v>8</v>
      </c>
      <c r="D128" s="36" t="s">
        <v>9</v>
      </c>
      <c r="E128" s="43">
        <v>2.72693746967819</v>
      </c>
      <c r="F128" s="43">
        <v>13.7425249551213</v>
      </c>
      <c r="G128" s="36">
        <f t="shared" si="5"/>
        <v>0.198430599804876</v>
      </c>
      <c r="H128" s="36" t="s">
        <v>10</v>
      </c>
      <c r="I128" s="43">
        <v>-0.778803156648777</v>
      </c>
      <c r="J128" s="43">
        <v>50.8069044369123</v>
      </c>
      <c r="K128" s="36">
        <f t="shared" si="6"/>
        <v>-0.0153286874152278</v>
      </c>
      <c r="L128" s="36" t="s">
        <v>11</v>
      </c>
      <c r="M128" s="43">
        <v>-1.86404811395728</v>
      </c>
      <c r="N128" s="43">
        <v>0.572144577627773</v>
      </c>
      <c r="O128" s="36">
        <f t="shared" si="7"/>
        <v>-3.25800188771516</v>
      </c>
      <c r="P128" s="39" t="s">
        <v>12</v>
      </c>
      <c r="Q128" s="43">
        <v>1.40474654056435</v>
      </c>
      <c r="R128" s="43">
        <v>0.525530752120072</v>
      </c>
      <c r="S128" s="39">
        <f t="shared" si="8"/>
        <v>2.67300540434101</v>
      </c>
      <c r="T128" s="39" t="s">
        <v>13</v>
      </c>
      <c r="U128" s="43">
        <v>6.72917885079603</v>
      </c>
      <c r="V128" s="43">
        <v>3.88594798163541</v>
      </c>
      <c r="W128" s="39">
        <f t="shared" si="9"/>
        <v>1.73166982229238</v>
      </c>
      <c r="X128" s="39" t="s">
        <v>13</v>
      </c>
      <c r="Y128" s="39">
        <v>1.00864353</v>
      </c>
      <c r="Z128" s="39">
        <v>5.0076863996184</v>
      </c>
      <c r="AA128" s="39">
        <f>Y128/Z128</f>
        <v>0.201419068509734</v>
      </c>
    </row>
    <row r="129" spans="1:27">
      <c r="A129" s="35" t="s">
        <v>57</v>
      </c>
      <c r="B129" s="39"/>
      <c r="C129" s="36" t="s">
        <v>14</v>
      </c>
      <c r="D129" s="36" t="s">
        <v>9</v>
      </c>
      <c r="E129" s="43">
        <v>-1.20167606097234</v>
      </c>
      <c r="F129" s="43">
        <v>30.0772541532772</v>
      </c>
      <c r="G129" s="36">
        <f t="shared" si="5"/>
        <v>-0.0399529842334828</v>
      </c>
      <c r="H129" s="36" t="s">
        <v>10</v>
      </c>
      <c r="I129" s="43">
        <v>3.87287935685935</v>
      </c>
      <c r="J129" s="43">
        <v>44.3532778319469</v>
      </c>
      <c r="K129" s="36">
        <f t="shared" si="6"/>
        <v>0.0873188983130753</v>
      </c>
      <c r="L129" s="36" t="s">
        <v>11</v>
      </c>
      <c r="M129" s="43">
        <v>3.97866991575296</v>
      </c>
      <c r="N129" s="43">
        <v>0.496399218592631</v>
      </c>
      <c r="O129" s="36">
        <f t="shared" si="7"/>
        <v>8.01506079528713</v>
      </c>
      <c r="P129" s="39" t="s">
        <v>12</v>
      </c>
      <c r="Q129" s="43">
        <v>-0.84538657268255</v>
      </c>
      <c r="R129" s="43">
        <v>0.743060784325391</v>
      </c>
      <c r="S129" s="39">
        <f t="shared" si="8"/>
        <v>-1.13770850314764</v>
      </c>
      <c r="T129" s="39" t="s">
        <v>13</v>
      </c>
      <c r="U129" s="43">
        <v>6.72917885079603</v>
      </c>
      <c r="V129" s="43">
        <v>3.88594798163541</v>
      </c>
      <c r="W129" s="39">
        <f t="shared" si="9"/>
        <v>1.73166982229238</v>
      </c>
      <c r="X129" s="39" t="s">
        <v>13</v>
      </c>
      <c r="Y129" s="39">
        <v>1.16755219</v>
      </c>
      <c r="Z129" s="39">
        <v>5.0076863996184</v>
      </c>
      <c r="AA129" s="39">
        <f>Y129/Z129</f>
        <v>0.233152018083435</v>
      </c>
    </row>
    <row r="130" spans="1:27">
      <c r="A130" s="35" t="s">
        <v>57</v>
      </c>
      <c r="B130" s="39"/>
      <c r="C130" s="36" t="s">
        <v>15</v>
      </c>
      <c r="D130" s="36" t="s">
        <v>9</v>
      </c>
      <c r="E130" s="43">
        <v>1.7871583659148</v>
      </c>
      <c r="F130" s="43">
        <v>19.0493274101926</v>
      </c>
      <c r="G130" s="36">
        <f t="shared" ref="G130:G148" si="10">E130/F130</f>
        <v>0.0938173998184606</v>
      </c>
      <c r="H130" s="36" t="s">
        <v>10</v>
      </c>
      <c r="I130" s="43">
        <v>0.153315412049908</v>
      </c>
      <c r="J130" s="43">
        <v>70.1827706903564</v>
      </c>
      <c r="K130" s="36">
        <f t="shared" ref="K130:K148" si="11">I130/J130</f>
        <v>0.0021845163783335</v>
      </c>
      <c r="L130" s="36" t="s">
        <v>11</v>
      </c>
      <c r="M130" s="43">
        <v>1.8189565055242</v>
      </c>
      <c r="N130" s="43">
        <v>0.456504142357036</v>
      </c>
      <c r="O130" s="36">
        <f t="shared" ref="O130:O148" si="12">M130/N130</f>
        <v>3.98453450199271</v>
      </c>
      <c r="P130" s="39" t="s">
        <v>12</v>
      </c>
      <c r="Q130" s="43">
        <v>-1.59504649169745</v>
      </c>
      <c r="R130" s="43">
        <v>0.540884471216604</v>
      </c>
      <c r="S130" s="39">
        <f t="shared" ref="S130:S148" si="13">Q130/R130</f>
        <v>-2.94895966990831</v>
      </c>
      <c r="T130" s="39" t="s">
        <v>13</v>
      </c>
      <c r="U130" s="43">
        <v>1.00458076203726</v>
      </c>
      <c r="V130" s="43">
        <v>3.88594798163541</v>
      </c>
      <c r="W130" s="39">
        <f t="shared" ref="W130:W148" si="14">U130/V130</f>
        <v>0.258516265988326</v>
      </c>
      <c r="X130" s="39" t="s">
        <v>13</v>
      </c>
      <c r="Y130" s="39">
        <v>1.72588516</v>
      </c>
      <c r="Z130" s="39">
        <v>5.0076863996184</v>
      </c>
      <c r="AA130" s="39">
        <f>Y130/Z130</f>
        <v>0.344647212759073</v>
      </c>
    </row>
    <row r="131" spans="1:27">
      <c r="A131" s="35" t="s">
        <v>58</v>
      </c>
      <c r="B131" s="39"/>
      <c r="C131" s="36" t="s">
        <v>8</v>
      </c>
      <c r="D131" s="36" t="s">
        <v>9</v>
      </c>
      <c r="E131" s="43">
        <v>2.15210243016255</v>
      </c>
      <c r="F131" s="43">
        <v>13.7425249551213</v>
      </c>
      <c r="G131" s="36">
        <f t="shared" si="10"/>
        <v>0.156601675251865</v>
      </c>
      <c r="H131" s="36" t="s">
        <v>10</v>
      </c>
      <c r="I131" s="43">
        <v>0.842628298468558</v>
      </c>
      <c r="J131" s="43">
        <v>50.8069044369123</v>
      </c>
      <c r="K131" s="36">
        <f t="shared" si="11"/>
        <v>0.0165849171054076</v>
      </c>
      <c r="L131" s="36" t="s">
        <v>11</v>
      </c>
      <c r="M131" s="43">
        <v>-1.11336499048151</v>
      </c>
      <c r="N131" s="43">
        <v>0.572144577627773</v>
      </c>
      <c r="O131" s="36">
        <f t="shared" si="12"/>
        <v>-1.94595043633507</v>
      </c>
      <c r="P131" s="39" t="s">
        <v>12</v>
      </c>
      <c r="Q131" s="43">
        <v>-2.76829163016269</v>
      </c>
      <c r="R131" s="43">
        <v>0.525530752120072</v>
      </c>
      <c r="S131" s="39">
        <f t="shared" si="13"/>
        <v>-5.26761111313653</v>
      </c>
      <c r="T131" s="39" t="s">
        <v>13</v>
      </c>
      <c r="U131" s="43">
        <v>-1.07138062382166</v>
      </c>
      <c r="V131" s="43">
        <v>3.88594798163541</v>
      </c>
      <c r="W131" s="39">
        <f t="shared" si="14"/>
        <v>-0.275706373035587</v>
      </c>
      <c r="X131" s="39" t="s">
        <v>13</v>
      </c>
      <c r="Y131" s="39">
        <v>-0.36465852</v>
      </c>
      <c r="Z131" s="39">
        <v>4.78512652888467</v>
      </c>
      <c r="AA131" s="39">
        <f>Y131/Z131</f>
        <v>-0.0762066619970853</v>
      </c>
    </row>
    <row r="132" spans="1:27">
      <c r="A132" s="35" t="s">
        <v>58</v>
      </c>
      <c r="B132" s="39"/>
      <c r="C132" s="36" t="s">
        <v>14</v>
      </c>
      <c r="D132" s="36" t="s">
        <v>9</v>
      </c>
      <c r="E132" s="43">
        <v>-0.319309955980232</v>
      </c>
      <c r="F132" s="43">
        <v>30.0772541532772</v>
      </c>
      <c r="G132" s="36">
        <f t="shared" si="10"/>
        <v>-0.0106163266883669</v>
      </c>
      <c r="H132" s="36" t="s">
        <v>10</v>
      </c>
      <c r="I132" s="43">
        <v>0.196742377631699</v>
      </c>
      <c r="J132" s="43">
        <v>44.3532778319469</v>
      </c>
      <c r="K132" s="36">
        <f t="shared" si="11"/>
        <v>0.00443580243104353</v>
      </c>
      <c r="L132" s="36" t="s">
        <v>11</v>
      </c>
      <c r="M132" s="43">
        <v>-0.572575120584216</v>
      </c>
      <c r="N132" s="43">
        <v>0.496399218592631</v>
      </c>
      <c r="O132" s="36">
        <f t="shared" si="12"/>
        <v>-1.15345693373079</v>
      </c>
      <c r="P132" s="39" t="s">
        <v>12</v>
      </c>
      <c r="Q132" s="43">
        <v>1.18641041960414</v>
      </c>
      <c r="R132" s="43">
        <v>0.743060784325391</v>
      </c>
      <c r="S132" s="39">
        <f t="shared" si="13"/>
        <v>1.59665325452649</v>
      </c>
      <c r="T132" s="39" t="s">
        <v>13</v>
      </c>
      <c r="U132" s="43">
        <v>-1.07138062382166</v>
      </c>
      <c r="V132" s="43">
        <v>3.88594798163541</v>
      </c>
      <c r="W132" s="39">
        <f t="shared" si="14"/>
        <v>-0.275706373035587</v>
      </c>
      <c r="X132" s="39" t="s">
        <v>13</v>
      </c>
      <c r="Y132" s="39">
        <v>0.85283803</v>
      </c>
      <c r="Z132" s="39">
        <v>4.78512652888467</v>
      </c>
      <c r="AA132" s="39">
        <f>Y132/Z132</f>
        <v>0.178226850398203</v>
      </c>
    </row>
    <row r="133" spans="1:27">
      <c r="A133" s="35" t="s">
        <v>58</v>
      </c>
      <c r="B133" s="39"/>
      <c r="C133" s="36" t="s">
        <v>15</v>
      </c>
      <c r="D133" s="36" t="s">
        <v>9</v>
      </c>
      <c r="E133" s="43">
        <v>1.81747320485036</v>
      </c>
      <c r="F133" s="43">
        <v>19.0493274101926</v>
      </c>
      <c r="G133" s="36">
        <f t="shared" si="10"/>
        <v>0.0954087861326745</v>
      </c>
      <c r="H133" s="36" t="s">
        <v>10</v>
      </c>
      <c r="I133" s="43">
        <v>0.74103374886274</v>
      </c>
      <c r="J133" s="43">
        <v>70.1827706903564</v>
      </c>
      <c r="K133" s="36">
        <f t="shared" si="11"/>
        <v>0.0105586277311871</v>
      </c>
      <c r="L133" s="36" t="s">
        <v>11</v>
      </c>
      <c r="M133" s="43">
        <v>1.21224129287395</v>
      </c>
      <c r="N133" s="43">
        <v>0.456504142357036</v>
      </c>
      <c r="O133" s="36">
        <f t="shared" si="12"/>
        <v>2.65548804577078</v>
      </c>
      <c r="P133" s="39" t="s">
        <v>12</v>
      </c>
      <c r="Q133" s="43">
        <v>-1.42009531522886</v>
      </c>
      <c r="R133" s="43">
        <v>0.540884471216604</v>
      </c>
      <c r="S133" s="39">
        <f t="shared" si="13"/>
        <v>-2.62550579800278</v>
      </c>
      <c r="T133" s="39" t="s">
        <v>13</v>
      </c>
      <c r="U133" s="43">
        <v>0.209283161267125</v>
      </c>
      <c r="V133" s="43">
        <v>3.88594798163541</v>
      </c>
      <c r="W133" s="39">
        <f t="shared" si="14"/>
        <v>0.0538563980413983</v>
      </c>
      <c r="X133" s="39" t="s">
        <v>13</v>
      </c>
      <c r="Y133" s="39">
        <v>0.70717594</v>
      </c>
      <c r="Z133" s="39">
        <v>4.78512652888467</v>
      </c>
      <c r="AA133" s="39">
        <f>Y133/Z133</f>
        <v>0.147786257214149</v>
      </c>
    </row>
    <row r="134" spans="1:27">
      <c r="A134" s="35" t="s">
        <v>59</v>
      </c>
      <c r="B134" s="39"/>
      <c r="C134" s="36" t="s">
        <v>8</v>
      </c>
      <c r="D134" s="36" t="s">
        <v>9</v>
      </c>
      <c r="E134" s="43">
        <v>3.53645780918688</v>
      </c>
      <c r="F134" s="43">
        <v>30.5589731034374</v>
      </c>
      <c r="G134" s="36">
        <f t="shared" si="10"/>
        <v>0.115725675637611</v>
      </c>
      <c r="H134" s="36" t="s">
        <v>10</v>
      </c>
      <c r="I134" s="43">
        <v>4.70823468787282</v>
      </c>
      <c r="J134" s="43">
        <v>56.0605667866237</v>
      </c>
      <c r="K134" s="36">
        <f t="shared" si="11"/>
        <v>0.0839847857013858</v>
      </c>
      <c r="L134" s="36" t="s">
        <v>11</v>
      </c>
      <c r="M134" s="43">
        <v>-5.087161350963</v>
      </c>
      <c r="N134" s="43">
        <v>0.557032805923493</v>
      </c>
      <c r="O134" s="36">
        <f t="shared" si="12"/>
        <v>-9.13260636872024</v>
      </c>
      <c r="P134" s="39" t="s">
        <v>12</v>
      </c>
      <c r="Q134" s="43">
        <v>3.19985559191917</v>
      </c>
      <c r="R134" s="43">
        <v>0.729438461249474</v>
      </c>
      <c r="S134" s="39">
        <f t="shared" si="13"/>
        <v>4.38673824031441</v>
      </c>
      <c r="T134" s="39" t="s">
        <v>13</v>
      </c>
      <c r="U134" s="43">
        <v>-1.1642939294101</v>
      </c>
      <c r="V134" s="43">
        <v>3.17214438511238</v>
      </c>
      <c r="W134" s="39">
        <f t="shared" si="14"/>
        <v>-0.367036864675645</v>
      </c>
      <c r="X134" s="39" t="s">
        <v>13</v>
      </c>
      <c r="Y134" s="43">
        <v>-0.14058591</v>
      </c>
      <c r="Z134" s="39">
        <v>3.27617663341483</v>
      </c>
      <c r="AA134" s="39">
        <f>Y134/Z134</f>
        <v>-0.0429115782604994</v>
      </c>
    </row>
    <row r="135" spans="1:27">
      <c r="A135" s="35" t="s">
        <v>59</v>
      </c>
      <c r="B135" s="39"/>
      <c r="C135" s="36" t="s">
        <v>14</v>
      </c>
      <c r="D135" s="36" t="s">
        <v>9</v>
      </c>
      <c r="E135" s="43">
        <v>-0.623012135949849</v>
      </c>
      <c r="F135" s="43">
        <v>48.3128996251522</v>
      </c>
      <c r="G135" s="36">
        <f t="shared" si="10"/>
        <v>-0.0128953579847959</v>
      </c>
      <c r="H135" s="36" t="s">
        <v>10</v>
      </c>
      <c r="I135" s="43">
        <v>3.56905161947186</v>
      </c>
      <c r="J135" s="43">
        <v>63.1109585249464</v>
      </c>
      <c r="K135" s="36">
        <f t="shared" si="11"/>
        <v>0.0565520109801706</v>
      </c>
      <c r="L135" s="36" t="s">
        <v>11</v>
      </c>
      <c r="M135" s="43">
        <v>6.87487368101775</v>
      </c>
      <c r="N135" s="43">
        <v>0.630062383560338</v>
      </c>
      <c r="O135" s="36">
        <f t="shared" si="12"/>
        <v>10.9114174411896</v>
      </c>
      <c r="P135" s="39" t="s">
        <v>12</v>
      </c>
      <c r="Q135" s="43">
        <v>-3.44812341889431</v>
      </c>
      <c r="R135" s="43">
        <v>0.65186129240142</v>
      </c>
      <c r="S135" s="39">
        <f t="shared" si="13"/>
        <v>-5.28965818202155</v>
      </c>
      <c r="T135" s="39" t="s">
        <v>13</v>
      </c>
      <c r="U135" s="43">
        <v>-1.1642939294101</v>
      </c>
      <c r="V135" s="43">
        <v>3.17214438511238</v>
      </c>
      <c r="W135" s="39">
        <f t="shared" si="14"/>
        <v>-0.367036864675645</v>
      </c>
      <c r="X135" s="39" t="s">
        <v>13</v>
      </c>
      <c r="Y135" s="43">
        <v>0.6508284</v>
      </c>
      <c r="Z135" s="39">
        <v>3.27617663341483</v>
      </c>
      <c r="AA135" s="39">
        <f>Y135/Z135</f>
        <v>0.198654856811437</v>
      </c>
    </row>
    <row r="136" spans="1:27">
      <c r="A136" s="35" t="s">
        <v>59</v>
      </c>
      <c r="B136" s="39"/>
      <c r="C136" s="36" t="s">
        <v>15</v>
      </c>
      <c r="D136" s="36" t="s">
        <v>9</v>
      </c>
      <c r="E136" s="43">
        <v>1.25243868670072</v>
      </c>
      <c r="F136" s="43">
        <v>30.7099336187853</v>
      </c>
      <c r="G136" s="36">
        <f t="shared" si="10"/>
        <v>0.0407828522929337</v>
      </c>
      <c r="H136" s="36" t="s">
        <v>10</v>
      </c>
      <c r="I136" s="43">
        <v>7.45390455181603</v>
      </c>
      <c r="J136" s="43">
        <v>74.2147559451623</v>
      </c>
      <c r="K136" s="36">
        <f t="shared" si="11"/>
        <v>0.100436961044833</v>
      </c>
      <c r="L136" s="36" t="s">
        <v>11</v>
      </c>
      <c r="M136" s="43">
        <v>3.57481486072799</v>
      </c>
      <c r="N136" s="43">
        <v>0.486505795509587</v>
      </c>
      <c r="O136" s="36">
        <f t="shared" si="12"/>
        <v>7.34793890170121</v>
      </c>
      <c r="P136" s="39" t="s">
        <v>12</v>
      </c>
      <c r="Q136" s="43">
        <v>1.15960209014178</v>
      </c>
      <c r="R136" s="43">
        <v>0.543246125737071</v>
      </c>
      <c r="S136" s="39">
        <f t="shared" si="13"/>
        <v>2.13457958594448</v>
      </c>
      <c r="T136" s="39" t="s">
        <v>13</v>
      </c>
      <c r="U136" s="43">
        <v>0.256864675955306</v>
      </c>
      <c r="V136" s="43">
        <v>3.17214438511238</v>
      </c>
      <c r="W136" s="39">
        <f t="shared" si="14"/>
        <v>0.0809750896462445</v>
      </c>
      <c r="X136" s="39" t="s">
        <v>13</v>
      </c>
      <c r="Y136" s="43">
        <v>1.15390978</v>
      </c>
      <c r="Z136" s="39">
        <v>3.27617663341483</v>
      </c>
      <c r="AA136" s="39">
        <f>Y136/Z136</f>
        <v>0.352212322202315</v>
      </c>
    </row>
    <row r="137" spans="1:27">
      <c r="A137" s="35" t="s">
        <v>60</v>
      </c>
      <c r="B137" s="39"/>
      <c r="C137" s="36" t="s">
        <v>8</v>
      </c>
      <c r="D137" s="36" t="s">
        <v>9</v>
      </c>
      <c r="E137" s="43">
        <v>-0.256072200195348</v>
      </c>
      <c r="F137" s="43">
        <v>30.5589731034374</v>
      </c>
      <c r="G137" s="36">
        <f t="shared" si="10"/>
        <v>-0.00837960749952504</v>
      </c>
      <c r="H137" s="36" t="s">
        <v>10</v>
      </c>
      <c r="I137" s="43">
        <v>1.41917480917569</v>
      </c>
      <c r="J137" s="43">
        <v>56.0605667866237</v>
      </c>
      <c r="K137" s="36">
        <f t="shared" si="11"/>
        <v>0.0253150278443905</v>
      </c>
      <c r="L137" s="36" t="s">
        <v>11</v>
      </c>
      <c r="M137" s="43">
        <v>-2.44567241494268</v>
      </c>
      <c r="N137" s="43">
        <v>0.557032805923493</v>
      </c>
      <c r="O137" s="36">
        <f t="shared" si="12"/>
        <v>-4.39053569006237</v>
      </c>
      <c r="P137" s="39" t="s">
        <v>12</v>
      </c>
      <c r="Q137" s="43">
        <v>-0.0829304868665352</v>
      </c>
      <c r="R137" s="43">
        <v>0.729438461249474</v>
      </c>
      <c r="S137" s="39">
        <f t="shared" si="13"/>
        <v>-0.113690861220125</v>
      </c>
      <c r="T137" s="39" t="s">
        <v>13</v>
      </c>
      <c r="U137" s="43">
        <v>0.612198110034341</v>
      </c>
      <c r="V137" s="43">
        <v>3.17214438511238</v>
      </c>
      <c r="W137" s="39">
        <f t="shared" si="14"/>
        <v>0.19299188047919</v>
      </c>
      <c r="X137" s="39" t="s">
        <v>13</v>
      </c>
      <c r="Y137" s="43">
        <v>-0.09726535</v>
      </c>
      <c r="Z137" s="39">
        <v>2.5</v>
      </c>
      <c r="AA137" s="39">
        <f>Y137/Z137</f>
        <v>-0.03890614</v>
      </c>
    </row>
    <row r="138" spans="1:27">
      <c r="A138" s="35" t="s">
        <v>60</v>
      </c>
      <c r="B138" s="39"/>
      <c r="C138" s="36" t="s">
        <v>14</v>
      </c>
      <c r="D138" s="36" t="s">
        <v>9</v>
      </c>
      <c r="E138" s="43">
        <v>-0.722526483832991</v>
      </c>
      <c r="F138" s="43">
        <v>48.3128996251522</v>
      </c>
      <c r="G138" s="36">
        <f t="shared" si="10"/>
        <v>-0.0149551463364628</v>
      </c>
      <c r="H138" s="36" t="s">
        <v>10</v>
      </c>
      <c r="I138" s="43">
        <v>0.480499626774819</v>
      </c>
      <c r="J138" s="43">
        <v>63.1109585249464</v>
      </c>
      <c r="K138" s="36">
        <f t="shared" si="11"/>
        <v>0.00761356883186757</v>
      </c>
      <c r="L138" s="36" t="s">
        <v>11</v>
      </c>
      <c r="M138" s="43">
        <v>0.485925800740749</v>
      </c>
      <c r="N138" s="43">
        <v>0.630062383560338</v>
      </c>
      <c r="O138" s="36">
        <f t="shared" si="12"/>
        <v>0.771234426018093</v>
      </c>
      <c r="P138" s="39" t="s">
        <v>12</v>
      </c>
      <c r="Q138" s="43">
        <v>-0.895705987779244</v>
      </c>
      <c r="R138" s="43">
        <v>0.65186129240142</v>
      </c>
      <c r="S138" s="39">
        <f t="shared" si="13"/>
        <v>-1.3740745128147</v>
      </c>
      <c r="T138" s="39" t="s">
        <v>13</v>
      </c>
      <c r="U138" s="43">
        <v>0.612198110034341</v>
      </c>
      <c r="V138" s="43">
        <v>3.17214438511238</v>
      </c>
      <c r="W138" s="39">
        <f t="shared" si="14"/>
        <v>0.19299188047919</v>
      </c>
      <c r="X138" s="39" t="s">
        <v>13</v>
      </c>
      <c r="Y138" s="43">
        <v>0.40297993</v>
      </c>
      <c r="Z138" s="39">
        <v>2.5</v>
      </c>
      <c r="AA138" s="39">
        <f>Y138/Z138</f>
        <v>0.161191972</v>
      </c>
    </row>
    <row r="139" spans="1:27">
      <c r="A139" s="35" t="s">
        <v>60</v>
      </c>
      <c r="B139" s="39"/>
      <c r="C139" s="36" t="s">
        <v>15</v>
      </c>
      <c r="D139" s="36" t="s">
        <v>9</v>
      </c>
      <c r="E139" s="43">
        <v>-0.398239509682714</v>
      </c>
      <c r="F139" s="43">
        <v>30.7099336187853</v>
      </c>
      <c r="G139" s="36">
        <f t="shared" si="10"/>
        <v>-0.0129677750081202</v>
      </c>
      <c r="H139" s="36" t="s">
        <v>10</v>
      </c>
      <c r="I139" s="43">
        <v>1.20791830504321</v>
      </c>
      <c r="J139" s="43">
        <v>74.2147559451623</v>
      </c>
      <c r="K139" s="36">
        <f t="shared" si="11"/>
        <v>0.0162759856804723</v>
      </c>
      <c r="L139" s="36" t="s">
        <v>11</v>
      </c>
      <c r="M139" s="43">
        <v>-1.04698822539973</v>
      </c>
      <c r="N139" s="43">
        <v>0.486505795509587</v>
      </c>
      <c r="O139" s="36">
        <f t="shared" si="12"/>
        <v>-2.15205704652104</v>
      </c>
      <c r="P139" s="39" t="s">
        <v>12</v>
      </c>
      <c r="Q139" s="43">
        <v>0.0492233584761842</v>
      </c>
      <c r="R139" s="43">
        <v>0.543246125737071</v>
      </c>
      <c r="S139" s="39">
        <f t="shared" si="13"/>
        <v>0.0906096815865892</v>
      </c>
      <c r="T139" s="39" t="s">
        <v>13</v>
      </c>
      <c r="U139" s="43">
        <v>0.564409342194073</v>
      </c>
      <c r="V139" s="43">
        <v>3.17214438511238</v>
      </c>
      <c r="W139" s="39">
        <f t="shared" si="14"/>
        <v>0.177926750384686</v>
      </c>
      <c r="X139" s="39" t="s">
        <v>13</v>
      </c>
      <c r="Y139" s="43">
        <v>0.33986279</v>
      </c>
      <c r="Z139" s="39">
        <v>2.5</v>
      </c>
      <c r="AA139" s="39">
        <f>Y139/Z139</f>
        <v>0.135945116</v>
      </c>
    </row>
    <row r="140" spans="1:27">
      <c r="A140" s="35" t="s">
        <v>61</v>
      </c>
      <c r="B140" s="39"/>
      <c r="C140" s="36" t="s">
        <v>8</v>
      </c>
      <c r="D140" s="36" t="s">
        <v>9</v>
      </c>
      <c r="E140" s="43">
        <v>6.95120569592162</v>
      </c>
      <c r="F140" s="43">
        <v>30.5589731034374</v>
      </c>
      <c r="G140" s="36">
        <f t="shared" si="10"/>
        <v>0.227468562912532</v>
      </c>
      <c r="H140" s="36" t="s">
        <v>10</v>
      </c>
      <c r="I140" s="43">
        <v>2.71963004332606</v>
      </c>
      <c r="J140" s="43">
        <v>56.0605667866237</v>
      </c>
      <c r="K140" s="36">
        <f t="shared" si="11"/>
        <v>0.0485123536777187</v>
      </c>
      <c r="L140" s="36" t="s">
        <v>11</v>
      </c>
      <c r="M140" s="43">
        <v>-3.76165339258876</v>
      </c>
      <c r="N140" s="43">
        <v>0.557032805923493</v>
      </c>
      <c r="O140" s="36">
        <f t="shared" si="12"/>
        <v>-6.75301948572381</v>
      </c>
      <c r="P140" s="39" t="s">
        <v>12</v>
      </c>
      <c r="Q140" s="43">
        <v>3.46117968357586</v>
      </c>
      <c r="R140" s="43">
        <v>0.729438461249474</v>
      </c>
      <c r="S140" s="39">
        <f t="shared" si="13"/>
        <v>4.74499202804184</v>
      </c>
      <c r="T140" s="39" t="s">
        <v>13</v>
      </c>
      <c r="U140" s="43">
        <v>4.9332290974013</v>
      </c>
      <c r="V140" s="43">
        <v>3.17214438511238</v>
      </c>
      <c r="W140" s="39">
        <f t="shared" si="14"/>
        <v>1.5551716752094</v>
      </c>
      <c r="X140" s="39" t="s">
        <v>13</v>
      </c>
      <c r="Y140" s="43">
        <v>6.06071436</v>
      </c>
      <c r="Z140" s="39">
        <v>3.2659863237109</v>
      </c>
      <c r="AA140" s="39">
        <f>Y140/Z140</f>
        <v>1.85570720734484</v>
      </c>
    </row>
    <row r="141" spans="1:27">
      <c r="A141" s="35" t="s">
        <v>61</v>
      </c>
      <c r="B141" s="39"/>
      <c r="C141" s="36" t="s">
        <v>14</v>
      </c>
      <c r="D141" s="36" t="s">
        <v>9</v>
      </c>
      <c r="E141" s="43">
        <v>-0.550918971167353</v>
      </c>
      <c r="F141" s="43">
        <v>48.3128996251522</v>
      </c>
      <c r="G141" s="36">
        <f t="shared" si="10"/>
        <v>-0.0114031444074315</v>
      </c>
      <c r="H141" s="36" t="s">
        <v>10</v>
      </c>
      <c r="I141" s="43">
        <v>2.98204946403357</v>
      </c>
      <c r="J141" s="43">
        <v>63.1109585249464</v>
      </c>
      <c r="K141" s="36">
        <f t="shared" si="11"/>
        <v>0.0472508980014118</v>
      </c>
      <c r="L141" s="36" t="s">
        <v>11</v>
      </c>
      <c r="M141" s="43">
        <v>7.0623061974434</v>
      </c>
      <c r="N141" s="43">
        <v>0.630062383560338</v>
      </c>
      <c r="O141" s="36">
        <f t="shared" si="12"/>
        <v>11.2088999148559</v>
      </c>
      <c r="P141" s="39" t="s">
        <v>12</v>
      </c>
      <c r="Q141" s="43">
        <v>-3.96955767009489</v>
      </c>
      <c r="R141" s="43">
        <v>0.65186129240142</v>
      </c>
      <c r="S141" s="39">
        <f t="shared" si="13"/>
        <v>-6.08957414156509</v>
      </c>
      <c r="T141" s="39" t="s">
        <v>13</v>
      </c>
      <c r="U141" s="43">
        <v>4.9332290974013</v>
      </c>
      <c r="V141" s="43">
        <v>3.17214438511238</v>
      </c>
      <c r="W141" s="39">
        <f t="shared" si="14"/>
        <v>1.5551716752094</v>
      </c>
      <c r="X141" s="39" t="s">
        <v>13</v>
      </c>
      <c r="Y141" s="43">
        <v>3.35477298</v>
      </c>
      <c r="Z141" s="39">
        <v>3.2659863237109</v>
      </c>
      <c r="AA141" s="39">
        <f>Y141/Z141</f>
        <v>1.02718525048452</v>
      </c>
    </row>
    <row r="142" spans="1:27">
      <c r="A142" s="35" t="s">
        <v>61</v>
      </c>
      <c r="B142" s="39"/>
      <c r="C142" s="36" t="s">
        <v>15</v>
      </c>
      <c r="D142" s="36" t="s">
        <v>9</v>
      </c>
      <c r="E142" s="43">
        <v>1.58332647326286</v>
      </c>
      <c r="F142" s="43">
        <v>30.7099336187853</v>
      </c>
      <c r="G142" s="36">
        <f t="shared" si="10"/>
        <v>0.0515574697398348</v>
      </c>
      <c r="H142" s="36" t="s">
        <v>10</v>
      </c>
      <c r="I142" s="43">
        <v>7.41928399846673</v>
      </c>
      <c r="J142" s="43">
        <v>74.2147559451623</v>
      </c>
      <c r="K142" s="36">
        <f t="shared" si="11"/>
        <v>0.099970469537741</v>
      </c>
      <c r="L142" s="36" t="s">
        <v>11</v>
      </c>
      <c r="M142" s="43">
        <v>5.58594560346805</v>
      </c>
      <c r="N142" s="43">
        <v>0.486505795509587</v>
      </c>
      <c r="O142" s="36">
        <f t="shared" si="12"/>
        <v>11.4817657981178</v>
      </c>
      <c r="P142" s="39" t="s">
        <v>12</v>
      </c>
      <c r="Q142" s="43">
        <v>1.19716408632135</v>
      </c>
      <c r="R142" s="43">
        <v>0.543246125737071</v>
      </c>
      <c r="S142" s="39">
        <f t="shared" si="13"/>
        <v>2.20372319212963</v>
      </c>
      <c r="T142" s="39" t="s">
        <v>13</v>
      </c>
      <c r="U142" s="43">
        <v>1.14521872853017</v>
      </c>
      <c r="V142" s="43">
        <v>3.17214438511238</v>
      </c>
      <c r="W142" s="39">
        <f t="shared" si="14"/>
        <v>0.361023518949815</v>
      </c>
      <c r="X142" s="39" t="s">
        <v>13</v>
      </c>
      <c r="Y142" s="43">
        <v>4.64973487</v>
      </c>
      <c r="Z142" s="39">
        <v>3.2659863237109</v>
      </c>
      <c r="AA142" s="39">
        <f>Y142/Z142</f>
        <v>1.42368473384079</v>
      </c>
    </row>
    <row r="143" spans="1:27">
      <c r="A143" s="35" t="s">
        <v>62</v>
      </c>
      <c r="B143" s="39"/>
      <c r="C143" s="36" t="s">
        <v>8</v>
      </c>
      <c r="D143" s="36" t="s">
        <v>9</v>
      </c>
      <c r="E143" s="43">
        <v>1.39811400930577</v>
      </c>
      <c r="F143" s="43">
        <v>30.5589731034374</v>
      </c>
      <c r="G143" s="36">
        <f t="shared" si="10"/>
        <v>0.0457513413351087</v>
      </c>
      <c r="H143" s="36" t="s">
        <v>10</v>
      </c>
      <c r="I143" s="43">
        <v>0.750563591590423</v>
      </c>
      <c r="J143" s="43">
        <v>56.0605667866237</v>
      </c>
      <c r="K143" s="36">
        <f t="shared" si="11"/>
        <v>0.0133884410132206</v>
      </c>
      <c r="L143" s="36" t="s">
        <v>11</v>
      </c>
      <c r="M143" s="43">
        <v>-2.80821623495738</v>
      </c>
      <c r="N143" s="43">
        <v>0.557032805923493</v>
      </c>
      <c r="O143" s="36">
        <f t="shared" si="12"/>
        <v>-5.04138392765162</v>
      </c>
      <c r="P143" s="39" t="s">
        <v>12</v>
      </c>
      <c r="Q143" s="43">
        <v>-0.207081841259062</v>
      </c>
      <c r="R143" s="43">
        <v>0.729438461249474</v>
      </c>
      <c r="S143" s="39">
        <f t="shared" si="13"/>
        <v>-0.283892133826267</v>
      </c>
      <c r="T143" s="39" t="s">
        <v>13</v>
      </c>
      <c r="U143" s="43">
        <v>2.54491158118203</v>
      </c>
      <c r="V143" s="43">
        <v>3.17214438511238</v>
      </c>
      <c r="W143" s="39">
        <f t="shared" si="14"/>
        <v>0.802268520035185</v>
      </c>
      <c r="X143" s="39" t="s">
        <v>13</v>
      </c>
      <c r="Y143" s="43">
        <v>1.8833355</v>
      </c>
      <c r="Z143" s="39">
        <v>2.91476128239232</v>
      </c>
      <c r="AA143" s="39">
        <f>Y143/Z143</f>
        <v>0.64613713355429</v>
      </c>
    </row>
    <row r="144" spans="1:27">
      <c r="A144" s="35" t="s">
        <v>62</v>
      </c>
      <c r="B144" s="39"/>
      <c r="C144" s="36" t="s">
        <v>14</v>
      </c>
      <c r="D144" s="36" t="s">
        <v>9</v>
      </c>
      <c r="E144" s="43">
        <v>-1.06983555116052</v>
      </c>
      <c r="F144" s="43">
        <v>48.3128996251522</v>
      </c>
      <c r="G144" s="36">
        <f t="shared" si="10"/>
        <v>-0.0221438903369723</v>
      </c>
      <c r="H144" s="36" t="s">
        <v>10</v>
      </c>
      <c r="I144" s="43">
        <v>0.802317502977758</v>
      </c>
      <c r="J144" s="43">
        <v>63.1109585249464</v>
      </c>
      <c r="K144" s="36">
        <f t="shared" si="11"/>
        <v>0.012712808072161</v>
      </c>
      <c r="L144" s="36" t="s">
        <v>11</v>
      </c>
      <c r="M144" s="43">
        <v>2.00666392597751</v>
      </c>
      <c r="N144" s="43">
        <v>0.630062383560338</v>
      </c>
      <c r="O144" s="36">
        <f t="shared" si="12"/>
        <v>3.18486546465179</v>
      </c>
      <c r="P144" s="39" t="s">
        <v>12</v>
      </c>
      <c r="Q144" s="43">
        <v>-3.33942895121607</v>
      </c>
      <c r="R144" s="43">
        <v>0.65186129240142</v>
      </c>
      <c r="S144" s="39">
        <f t="shared" si="13"/>
        <v>-5.12291340219605</v>
      </c>
      <c r="T144" s="39" t="s">
        <v>13</v>
      </c>
      <c r="U144" s="43">
        <v>2.54491158118203</v>
      </c>
      <c r="V144" s="43">
        <v>3.17214438511238</v>
      </c>
      <c r="W144" s="39">
        <f t="shared" si="14"/>
        <v>0.802268520035185</v>
      </c>
      <c r="X144" s="39" t="s">
        <v>13</v>
      </c>
      <c r="Y144" s="43">
        <v>2.00690554</v>
      </c>
      <c r="Z144" s="39">
        <v>2.91476128239232</v>
      </c>
      <c r="AA144" s="39">
        <f>Y144/Z144</f>
        <v>0.688531699705031</v>
      </c>
    </row>
    <row r="145" spans="1:27">
      <c r="A145" s="35" t="s">
        <v>62</v>
      </c>
      <c r="B145" s="39"/>
      <c r="C145" s="36" t="s">
        <v>15</v>
      </c>
      <c r="D145" s="36" t="s">
        <v>9</v>
      </c>
      <c r="E145" s="43">
        <v>-0.210813836995303</v>
      </c>
      <c r="F145" s="43">
        <v>30.7099336187853</v>
      </c>
      <c r="G145" s="36">
        <f t="shared" si="10"/>
        <v>-0.00686467901924568</v>
      </c>
      <c r="H145" s="36" t="s">
        <v>10</v>
      </c>
      <c r="I145" s="43">
        <v>1.94957992692806</v>
      </c>
      <c r="J145" s="43">
        <v>74.2147559451623</v>
      </c>
      <c r="K145" s="36">
        <f t="shared" si="11"/>
        <v>0.0262694379587884</v>
      </c>
      <c r="L145" s="36" t="s">
        <v>11</v>
      </c>
      <c r="M145" s="43">
        <v>0.933295326264838</v>
      </c>
      <c r="N145" s="43">
        <v>0.486505795509587</v>
      </c>
      <c r="O145" s="36">
        <f t="shared" si="12"/>
        <v>1.918364251524</v>
      </c>
      <c r="P145" s="39" t="s">
        <v>12</v>
      </c>
      <c r="Q145" s="43">
        <v>-1.83194397455839</v>
      </c>
      <c r="R145" s="43">
        <v>0.543246125737071</v>
      </c>
      <c r="S145" s="39">
        <f t="shared" si="13"/>
        <v>-3.37221728378242</v>
      </c>
      <c r="T145" s="39" t="s">
        <v>13</v>
      </c>
      <c r="U145" s="43">
        <v>1.23151564044172</v>
      </c>
      <c r="V145" s="43">
        <v>3.17214438511238</v>
      </c>
      <c r="W145" s="39">
        <f t="shared" si="14"/>
        <v>0.388228116671332</v>
      </c>
      <c r="X145" s="39" t="s">
        <v>13</v>
      </c>
      <c r="Y145" s="43">
        <v>2.13682088</v>
      </c>
      <c r="Z145" s="39">
        <v>2.91476128239232</v>
      </c>
      <c r="AA145" s="39">
        <f>Y145/Z145</f>
        <v>0.733103219432839</v>
      </c>
    </row>
    <row r="146" spans="1:27">
      <c r="A146" s="35" t="s">
        <v>63</v>
      </c>
      <c r="B146" s="39"/>
      <c r="C146" s="36" t="s">
        <v>8</v>
      </c>
      <c r="D146" s="36" t="s">
        <v>9</v>
      </c>
      <c r="E146" s="43">
        <v>4.1635749974733</v>
      </c>
      <c r="F146" s="43">
        <v>30.5589731034374</v>
      </c>
      <c r="G146" s="36">
        <f t="shared" si="10"/>
        <v>0.136247215617496</v>
      </c>
      <c r="H146" s="36" t="s">
        <v>10</v>
      </c>
      <c r="I146" s="43">
        <v>1.41348465298829</v>
      </c>
      <c r="J146" s="43">
        <v>56.0605667866237</v>
      </c>
      <c r="K146" s="36">
        <f t="shared" si="11"/>
        <v>0.0252135276899404</v>
      </c>
      <c r="L146" s="36" t="s">
        <v>11</v>
      </c>
      <c r="M146" s="43">
        <v>-1.1985557340018</v>
      </c>
      <c r="N146" s="43">
        <v>0.557032805923493</v>
      </c>
      <c r="O146" s="36">
        <f t="shared" si="12"/>
        <v>-2.15167889800447</v>
      </c>
      <c r="P146" s="39" t="s">
        <v>12</v>
      </c>
      <c r="Q146" s="43">
        <v>2.04111806685834</v>
      </c>
      <c r="R146" s="43">
        <v>0.729438461249474</v>
      </c>
      <c r="S146" s="39">
        <f t="shared" si="13"/>
        <v>2.79820461257562</v>
      </c>
      <c r="T146" s="39" t="s">
        <v>13</v>
      </c>
      <c r="U146" s="43">
        <v>0.840968157657591</v>
      </c>
      <c r="V146" s="43">
        <v>3.17214438511238</v>
      </c>
      <c r="W146" s="39">
        <f t="shared" si="14"/>
        <v>0.265110302546269</v>
      </c>
      <c r="X146" s="39" t="s">
        <v>13</v>
      </c>
      <c r="Y146" s="43">
        <v>0.74485177</v>
      </c>
      <c r="Z146" s="39">
        <v>2.70801280154532</v>
      </c>
      <c r="AA146" s="39">
        <f>Y146/Z146</f>
        <v>0.275054744783685</v>
      </c>
    </row>
    <row r="147" spans="1:27">
      <c r="A147" s="35" t="s">
        <v>63</v>
      </c>
      <c r="B147" s="39"/>
      <c r="C147" s="36" t="s">
        <v>14</v>
      </c>
      <c r="D147" s="36" t="s">
        <v>9</v>
      </c>
      <c r="E147" s="43">
        <v>1.09388906670294</v>
      </c>
      <c r="F147" s="43">
        <v>48.3128996251522</v>
      </c>
      <c r="G147" s="36">
        <f t="shared" si="10"/>
        <v>0.0226417597616817</v>
      </c>
      <c r="H147" s="36" t="s">
        <v>10</v>
      </c>
      <c r="I147" s="43">
        <v>6.29166455125851</v>
      </c>
      <c r="J147" s="43">
        <v>63.1109585249464</v>
      </c>
      <c r="K147" s="36">
        <f t="shared" si="11"/>
        <v>0.0996921089191119</v>
      </c>
      <c r="L147" s="36" t="s">
        <v>11</v>
      </c>
      <c r="M147" s="43">
        <v>4.88048916213473</v>
      </c>
      <c r="N147" s="43">
        <v>0.630062383560338</v>
      </c>
      <c r="O147" s="36">
        <f t="shared" si="12"/>
        <v>7.74604116906044</v>
      </c>
      <c r="P147" s="39" t="s">
        <v>12</v>
      </c>
      <c r="Q147" s="43">
        <v>1.30746941303533</v>
      </c>
      <c r="R147" s="43">
        <v>0.65186129240142</v>
      </c>
      <c r="S147" s="39">
        <f t="shared" si="13"/>
        <v>2.00574789188462</v>
      </c>
      <c r="T147" s="39" t="s">
        <v>13</v>
      </c>
      <c r="U147" s="43">
        <v>0.840968157657591</v>
      </c>
      <c r="V147" s="43">
        <v>3.17214438511238</v>
      </c>
      <c r="W147" s="39">
        <f t="shared" si="14"/>
        <v>0.265110302546269</v>
      </c>
      <c r="X147" s="39" t="s">
        <v>13</v>
      </c>
      <c r="Y147" s="43">
        <v>-0.62140706</v>
      </c>
      <c r="Z147" s="39">
        <v>2.70801280154532</v>
      </c>
      <c r="AA147" s="39">
        <f>Y147/Z147</f>
        <v>-0.229469764561451</v>
      </c>
    </row>
    <row r="148" spans="1:27">
      <c r="A148" s="35" t="s">
        <v>63</v>
      </c>
      <c r="B148" s="39"/>
      <c r="C148" s="36" t="s">
        <v>15</v>
      </c>
      <c r="D148" s="36" t="s">
        <v>9</v>
      </c>
      <c r="E148" s="43">
        <v>2.17001946642495</v>
      </c>
      <c r="F148" s="43">
        <v>30.7099336187853</v>
      </c>
      <c r="G148" s="36">
        <f t="shared" si="10"/>
        <v>0.0706618090863455</v>
      </c>
      <c r="H148" s="36" t="s">
        <v>10</v>
      </c>
      <c r="I148" s="43">
        <v>6.72646307697029</v>
      </c>
      <c r="J148" s="43">
        <v>74.2147559451623</v>
      </c>
      <c r="K148" s="36">
        <f t="shared" si="11"/>
        <v>0.0906351168484676</v>
      </c>
      <c r="L148" s="36" t="s">
        <v>11</v>
      </c>
      <c r="M148" s="43">
        <v>3.72276206587849</v>
      </c>
      <c r="N148" s="43">
        <v>0.486505795509587</v>
      </c>
      <c r="O148" s="36">
        <f t="shared" si="12"/>
        <v>7.6520405311495</v>
      </c>
      <c r="P148" s="39" t="s">
        <v>12</v>
      </c>
      <c r="Q148" s="43">
        <v>1.83440123535215</v>
      </c>
      <c r="R148" s="43">
        <v>0.543246125737071</v>
      </c>
      <c r="S148" s="39">
        <f t="shared" si="13"/>
        <v>3.37674057567047</v>
      </c>
      <c r="T148" s="39" t="s">
        <v>13</v>
      </c>
      <c r="U148" s="43">
        <v>-0.918122490523335</v>
      </c>
      <c r="V148" s="43">
        <v>3.17214438511238</v>
      </c>
      <c r="W148" s="39">
        <f t="shared" si="14"/>
        <v>-0.28943275559344</v>
      </c>
      <c r="X148" s="39" t="s">
        <v>13</v>
      </c>
      <c r="Y148" s="43">
        <v>0.51440849</v>
      </c>
      <c r="Z148" s="39">
        <v>2.70801280154532</v>
      </c>
      <c r="AA148" s="39">
        <f>Y148/Z148</f>
        <v>0.189957924019582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48"/>
  <sheetViews>
    <sheetView workbookViewId="0">
      <selection activeCell="H12" sqref="H12"/>
    </sheetView>
  </sheetViews>
  <sheetFormatPr defaultColWidth="9" defaultRowHeight="14"/>
  <sheetData>
    <row r="1" spans="1:36">
      <c r="A1" s="29" t="s">
        <v>0</v>
      </c>
      <c r="B1" s="31" t="s">
        <v>64</v>
      </c>
      <c r="C1" s="32" t="s">
        <v>65</v>
      </c>
      <c r="D1" s="33" t="s">
        <v>2</v>
      </c>
      <c r="E1" s="31"/>
      <c r="F1" s="34" t="s">
        <v>5</v>
      </c>
      <c r="G1" s="45" t="s">
        <v>66</v>
      </c>
      <c r="H1" s="34" t="s">
        <v>67</v>
      </c>
      <c r="I1" s="34"/>
      <c r="J1" s="34" t="s">
        <v>5</v>
      </c>
      <c r="K1" s="45" t="s">
        <v>66</v>
      </c>
      <c r="L1" s="34" t="s">
        <v>67</v>
      </c>
      <c r="M1" s="34"/>
      <c r="N1" s="34" t="s">
        <v>5</v>
      </c>
      <c r="O1" s="45" t="s">
        <v>66</v>
      </c>
      <c r="P1" s="34" t="s">
        <v>67</v>
      </c>
      <c r="Q1" s="39"/>
      <c r="R1" s="34" t="s">
        <v>5</v>
      </c>
      <c r="S1" s="45" t="s">
        <v>66</v>
      </c>
      <c r="T1" s="34" t="s">
        <v>67</v>
      </c>
      <c r="U1" s="39"/>
      <c r="V1" s="34" t="s">
        <v>5</v>
      </c>
      <c r="W1" s="45" t="s">
        <v>66</v>
      </c>
      <c r="X1" s="34" t="s">
        <v>67</v>
      </c>
      <c r="Y1" s="39"/>
      <c r="Z1" s="34" t="s">
        <v>5</v>
      </c>
      <c r="AA1" s="45" t="s">
        <v>66</v>
      </c>
      <c r="AB1" s="34" t="s">
        <v>67</v>
      </c>
      <c r="AC1" s="39" t="s">
        <v>67</v>
      </c>
      <c r="AD1" s="39" t="s">
        <v>67</v>
      </c>
      <c r="AE1" s="39" t="s">
        <v>67</v>
      </c>
      <c r="AF1" s="39" t="s">
        <v>67</v>
      </c>
      <c r="AG1" s="39" t="s">
        <v>67</v>
      </c>
      <c r="AH1" s="39" t="s">
        <v>67</v>
      </c>
      <c r="AI1" s="45" t="s">
        <v>68</v>
      </c>
      <c r="AJ1" s="39" t="s">
        <v>69</v>
      </c>
    </row>
    <row r="2" spans="1:36">
      <c r="A2" s="35" t="s">
        <v>6</v>
      </c>
      <c r="B2" s="36" t="s">
        <v>70</v>
      </c>
      <c r="C2" s="36" t="s">
        <v>71</v>
      </c>
      <c r="D2" s="36" t="s">
        <v>8</v>
      </c>
      <c r="E2" s="36" t="s">
        <v>9</v>
      </c>
      <c r="F2" s="36">
        <v>-0.842411030097576</v>
      </c>
      <c r="G2" s="43">
        <v>0.0982210038986361</v>
      </c>
      <c r="H2" s="36">
        <f t="shared" ref="H2:H65" si="0">F2*G2</f>
        <v>-0.0827424570714681</v>
      </c>
      <c r="I2" s="36" t="s">
        <v>10</v>
      </c>
      <c r="J2" s="36">
        <v>-0.129815473344588</v>
      </c>
      <c r="K2" s="43">
        <v>0.636315789473684</v>
      </c>
      <c r="L2" s="36">
        <f t="shared" ref="L2:L65" si="1">J2*K2</f>
        <v>-0.0826036354071615</v>
      </c>
      <c r="M2" s="36" t="s">
        <v>11</v>
      </c>
      <c r="N2" s="36">
        <v>-12.5533690662747</v>
      </c>
      <c r="O2" s="43">
        <v>0.0655734072022163</v>
      </c>
      <c r="P2" s="36">
        <f t="shared" ref="P2:P65" si="2">N2*O2</f>
        <v>-0.823167181542537</v>
      </c>
      <c r="Q2" s="39" t="s">
        <v>12</v>
      </c>
      <c r="R2" s="39">
        <v>1.04709107943157</v>
      </c>
      <c r="S2" s="43">
        <v>-0.0183047091412741</v>
      </c>
      <c r="T2" s="39">
        <f t="shared" ref="T2:T65" si="3">R2*S2</f>
        <v>-0.0191666976534176</v>
      </c>
      <c r="U2" s="39" t="s">
        <v>13</v>
      </c>
      <c r="V2" s="39">
        <v>-2.46900193481008</v>
      </c>
      <c r="W2" s="43">
        <v>-0.726315789473684</v>
      </c>
      <c r="X2" s="39">
        <f t="shared" ref="X2:X65" si="4">V2*W2</f>
        <v>1.79327508949364</v>
      </c>
      <c r="Y2" s="39" t="s">
        <v>13</v>
      </c>
      <c r="Z2" s="39">
        <v>-1.8212388421141</v>
      </c>
      <c r="AA2" s="39">
        <v>-0.7263</v>
      </c>
      <c r="AB2" s="39">
        <f>Z2*AA2</f>
        <v>1.32276577102747</v>
      </c>
      <c r="AC2" s="36">
        <v>0.0189047448084508</v>
      </c>
      <c r="AD2" s="36">
        <v>0.00200702437371692</v>
      </c>
      <c r="AE2" s="36">
        <v>0.0356128179030638</v>
      </c>
      <c r="AF2" s="36">
        <v>-0.458305807261637</v>
      </c>
      <c r="AG2" s="39">
        <v>0.0463243429617048</v>
      </c>
      <c r="AH2" s="39">
        <v>1.32276577102747</v>
      </c>
      <c r="AI2" s="43">
        <v>1.6140350877193</v>
      </c>
      <c r="AJ2" s="39">
        <f>AI2-AC2-AD2-AE2-AF2-AG2-AH2</f>
        <v>0.646726193906531</v>
      </c>
    </row>
    <row r="3" spans="1:36">
      <c r="A3" s="35" t="s">
        <v>6</v>
      </c>
      <c r="B3" s="36" t="s">
        <v>70</v>
      </c>
      <c r="C3" s="36" t="s">
        <v>71</v>
      </c>
      <c r="D3" s="36" t="s">
        <v>14</v>
      </c>
      <c r="E3" s="36" t="s">
        <v>9</v>
      </c>
      <c r="F3" s="36">
        <v>2.81611984946985</v>
      </c>
      <c r="G3" s="43">
        <v>0.298062865497074</v>
      </c>
      <c r="H3" s="36">
        <f t="shared" si="0"/>
        <v>0.839380751916172</v>
      </c>
      <c r="I3" s="36" t="s">
        <v>10</v>
      </c>
      <c r="J3" s="36">
        <v>-0.0322405609036858</v>
      </c>
      <c r="K3" s="43">
        <v>0.941929824561403</v>
      </c>
      <c r="L3" s="36">
        <f t="shared" si="1"/>
        <v>-0.03036834587577</v>
      </c>
      <c r="M3" s="36" t="s">
        <v>11</v>
      </c>
      <c r="N3" s="36">
        <v>-6.11756713220364</v>
      </c>
      <c r="O3" s="43">
        <v>0.0384062788550342</v>
      </c>
      <c r="P3" s="36">
        <f t="shared" si="2"/>
        <v>-0.234952989193805</v>
      </c>
      <c r="Q3" s="39" t="s">
        <v>12</v>
      </c>
      <c r="R3" s="39">
        <v>-2.07803264870267</v>
      </c>
      <c r="S3" s="43">
        <v>-0.0339759926131115</v>
      </c>
      <c r="T3" s="39">
        <f t="shared" si="3"/>
        <v>0.0706032219221265</v>
      </c>
      <c r="U3" s="39" t="s">
        <v>13</v>
      </c>
      <c r="V3" s="39">
        <v>-2.46900193481007</v>
      </c>
      <c r="W3" s="43">
        <v>-0.726315789473684</v>
      </c>
      <c r="X3" s="39">
        <f t="shared" si="4"/>
        <v>1.79327508949363</v>
      </c>
      <c r="Y3" s="39" t="s">
        <v>13</v>
      </c>
      <c r="Z3" s="39">
        <v>-1.52950818449245</v>
      </c>
      <c r="AA3" s="39">
        <v>-0.7263</v>
      </c>
      <c r="AB3" s="39">
        <f>Z3*AA3</f>
        <v>1.11088179439687</v>
      </c>
      <c r="AC3" s="36">
        <v>0.251665782351806</v>
      </c>
      <c r="AD3" s="36">
        <v>0.137763035525127</v>
      </c>
      <c r="AE3" s="36">
        <v>0.0782675252001149</v>
      </c>
      <c r="AF3" s="36">
        <v>-0.308556812144909</v>
      </c>
      <c r="AG3" s="39">
        <v>0.0218814475650628</v>
      </c>
      <c r="AH3" s="39">
        <v>1.11088179439687</v>
      </c>
      <c r="AI3" s="43">
        <v>1.6140350877193</v>
      </c>
      <c r="AJ3" s="39">
        <f>AI3-AC3-AD3-AE3-AF3-AG3-AH3</f>
        <v>0.322132314825228</v>
      </c>
    </row>
    <row r="4" spans="1:36">
      <c r="A4" s="35" t="s">
        <v>6</v>
      </c>
      <c r="B4" s="36" t="s">
        <v>70</v>
      </c>
      <c r="C4" s="36" t="s">
        <v>71</v>
      </c>
      <c r="D4" s="36" t="s">
        <v>15</v>
      </c>
      <c r="E4" s="36" t="s">
        <v>9</v>
      </c>
      <c r="F4" s="36">
        <v>1.40513680790163</v>
      </c>
      <c r="G4" s="43">
        <v>0.178003322700691</v>
      </c>
      <c r="H4" s="36">
        <f t="shared" si="0"/>
        <v>0.250119020655533</v>
      </c>
      <c r="I4" s="36" t="s">
        <v>10</v>
      </c>
      <c r="J4" s="36">
        <v>0.00552459157763154</v>
      </c>
      <c r="K4" s="43">
        <v>1.47508771929825</v>
      </c>
      <c r="L4" s="36">
        <f t="shared" si="1"/>
        <v>0.00814925719030283</v>
      </c>
      <c r="M4" s="36" t="s">
        <v>11</v>
      </c>
      <c r="N4" s="36">
        <v>-11.1749132982767</v>
      </c>
      <c r="O4" s="43">
        <v>0.0519743803954316</v>
      </c>
      <c r="P4" s="36">
        <f t="shared" si="2"/>
        <v>-0.5808091946506</v>
      </c>
      <c r="Q4" s="39" t="s">
        <v>12</v>
      </c>
      <c r="R4" s="39">
        <v>-5.68370389136524</v>
      </c>
      <c r="S4" s="43">
        <v>-0.0259825489650051</v>
      </c>
      <c r="T4" s="39">
        <f t="shared" si="3"/>
        <v>0.147677114659987</v>
      </c>
      <c r="U4" s="39" t="s">
        <v>13</v>
      </c>
      <c r="V4" s="39">
        <v>-1.79096505850361</v>
      </c>
      <c r="W4" s="43">
        <v>-0.726315789473684</v>
      </c>
      <c r="X4" s="39">
        <f t="shared" si="4"/>
        <v>1.30080620038683</v>
      </c>
      <c r="Y4" s="39" t="s">
        <v>13</v>
      </c>
      <c r="Z4" s="39">
        <v>-2.00371522820653</v>
      </c>
      <c r="AA4" s="39">
        <v>-0.7263</v>
      </c>
      <c r="AB4" s="39">
        <f>Z4*AA4</f>
        <v>1.4552983702464</v>
      </c>
      <c r="AC4" s="36">
        <v>0.23353617783485</v>
      </c>
      <c r="AD4" s="36">
        <v>0.00698149196164031</v>
      </c>
      <c r="AE4" s="36">
        <v>-0.351201445199881</v>
      </c>
      <c r="AF4" s="36">
        <v>-0.482009628222902</v>
      </c>
      <c r="AG4" s="39">
        <v>0.256395736359405</v>
      </c>
      <c r="AH4" s="39">
        <v>1.4552983702464</v>
      </c>
      <c r="AI4" s="43">
        <v>1.6140350877193</v>
      </c>
      <c r="AJ4" s="39">
        <f>AI4-AC4-AD4-AE4-AF4-AG4-AH4</f>
        <v>0.495034384739788</v>
      </c>
    </row>
    <row r="5" spans="1:36">
      <c r="A5" s="35" t="s">
        <v>16</v>
      </c>
      <c r="B5" s="36" t="s">
        <v>70</v>
      </c>
      <c r="C5" s="36" t="s">
        <v>71</v>
      </c>
      <c r="D5" s="36" t="s">
        <v>8</v>
      </c>
      <c r="E5" s="36" t="s">
        <v>9</v>
      </c>
      <c r="F5" s="36">
        <v>-0.750381246193916</v>
      </c>
      <c r="G5" s="43">
        <v>0.0982210038986361</v>
      </c>
      <c r="H5" s="36">
        <f t="shared" si="0"/>
        <v>-0.073703199307876</v>
      </c>
      <c r="I5" s="36" t="s">
        <v>10</v>
      </c>
      <c r="J5" s="36">
        <v>0.0075120313586446</v>
      </c>
      <c r="K5" s="43">
        <v>-0.0201754385964911</v>
      </c>
      <c r="L5" s="36">
        <f t="shared" si="1"/>
        <v>-0.00015155852741125</v>
      </c>
      <c r="M5" s="36" t="s">
        <v>11</v>
      </c>
      <c r="N5" s="36">
        <v>-6.04993616604091</v>
      </c>
      <c r="O5" s="43">
        <v>0.0614053952084502</v>
      </c>
      <c r="P5" s="36">
        <f t="shared" si="2"/>
        <v>-0.371498721261638</v>
      </c>
      <c r="Q5" s="39" t="s">
        <v>12</v>
      </c>
      <c r="R5" s="39">
        <v>-3.13236848830496</v>
      </c>
      <c r="S5" s="43">
        <v>-0.00652707036408221</v>
      </c>
      <c r="T5" s="39">
        <f t="shared" si="3"/>
        <v>0.0204451895294003</v>
      </c>
      <c r="U5" s="39" t="s">
        <v>13</v>
      </c>
      <c r="V5" s="39">
        <v>0.124704907759988</v>
      </c>
      <c r="W5" s="43">
        <v>-0.615789473684211</v>
      </c>
      <c r="X5" s="39">
        <f t="shared" si="4"/>
        <v>-0.0767919695153611</v>
      </c>
      <c r="Y5" s="39" t="s">
        <v>13</v>
      </c>
      <c r="Z5" s="39">
        <v>0.284669673133307</v>
      </c>
      <c r="AA5" s="39">
        <v>-0.6158</v>
      </c>
      <c r="AB5" s="39">
        <f>Z5*AA5</f>
        <v>-0.17529958471549</v>
      </c>
      <c r="AC5" s="36">
        <v>-0.07323859702659</v>
      </c>
      <c r="AD5" s="36">
        <v>-0.00313007832635666</v>
      </c>
      <c r="AE5" s="36">
        <v>-0.00237035904085228</v>
      </c>
      <c r="AF5" s="36">
        <v>-0.430903926566484</v>
      </c>
      <c r="AG5" s="39">
        <v>0.0246033974064195</v>
      </c>
      <c r="AH5" s="39">
        <v>-0.17529958471549</v>
      </c>
      <c r="AI5" s="43">
        <v>-0.968421052631579</v>
      </c>
      <c r="AJ5" s="39">
        <f>AI5-AC5-AD5-AE5-AF5-AG5-AH5</f>
        <v>-0.308081904362225</v>
      </c>
    </row>
    <row r="6" spans="1:36">
      <c r="A6" s="35" t="s">
        <v>16</v>
      </c>
      <c r="B6" s="36" t="s">
        <v>70</v>
      </c>
      <c r="C6" s="36" t="s">
        <v>71</v>
      </c>
      <c r="D6" s="36" t="s">
        <v>14</v>
      </c>
      <c r="E6" s="36" t="s">
        <v>9</v>
      </c>
      <c r="F6" s="36">
        <v>-0.321968004846557</v>
      </c>
      <c r="G6" s="43">
        <v>0.298062865497074</v>
      </c>
      <c r="H6" s="36">
        <f t="shared" si="0"/>
        <v>-0.0959667061229406</v>
      </c>
      <c r="I6" s="36" t="s">
        <v>10</v>
      </c>
      <c r="J6" s="36">
        <v>0.0199189948849083</v>
      </c>
      <c r="K6" s="43">
        <v>1.66350877192982</v>
      </c>
      <c r="L6" s="36">
        <f t="shared" si="1"/>
        <v>0.0331354227190702</v>
      </c>
      <c r="M6" s="36" t="s">
        <v>11</v>
      </c>
      <c r="N6" s="36">
        <v>-6.12841960867058</v>
      </c>
      <c r="O6" s="43">
        <v>0.041829040686824</v>
      </c>
      <c r="P6" s="36">
        <f t="shared" si="2"/>
        <v>-0.256345913157012</v>
      </c>
      <c r="Q6" s="39" t="s">
        <v>12</v>
      </c>
      <c r="R6" s="39">
        <v>2.74958104612813</v>
      </c>
      <c r="S6" s="43">
        <v>-0.0443896976483764</v>
      </c>
      <c r="T6" s="39">
        <f t="shared" si="3"/>
        <v>-0.122053071297334</v>
      </c>
      <c r="U6" s="39" t="s">
        <v>13</v>
      </c>
      <c r="V6" s="39">
        <v>0.124704907759988</v>
      </c>
      <c r="W6" s="43">
        <v>-0.615789473684211</v>
      </c>
      <c r="X6" s="39">
        <f t="shared" si="4"/>
        <v>-0.0767919695153611</v>
      </c>
      <c r="Y6" s="39" t="s">
        <v>13</v>
      </c>
      <c r="Z6" s="39">
        <v>0.413271009008587</v>
      </c>
      <c r="AA6" s="39">
        <v>-0.6158</v>
      </c>
      <c r="AB6" s="39">
        <f>Z6*AA6</f>
        <v>-0.254492287347488</v>
      </c>
      <c r="AC6" s="36">
        <v>-0.381551568497595</v>
      </c>
      <c r="AD6" s="36">
        <v>0.132987109940906</v>
      </c>
      <c r="AE6" s="36">
        <v>0.22283957316126</v>
      </c>
      <c r="AF6" s="36">
        <v>-0.537558260771255</v>
      </c>
      <c r="AG6" s="39">
        <v>0.0221492842145753</v>
      </c>
      <c r="AH6" s="39">
        <v>-0.254492287347488</v>
      </c>
      <c r="AI6" s="43">
        <v>-0.968421052631579</v>
      </c>
      <c r="AJ6" s="39">
        <f>AI6-AC6-AD6-AE6-AF6-AG6-AH6</f>
        <v>-0.172794903331982</v>
      </c>
    </row>
    <row r="7" spans="1:36">
      <c r="A7" s="35" t="s">
        <v>16</v>
      </c>
      <c r="B7" s="36" t="s">
        <v>70</v>
      </c>
      <c r="C7" s="36" t="s">
        <v>71</v>
      </c>
      <c r="D7" s="36" t="s">
        <v>15</v>
      </c>
      <c r="E7" s="36" t="s">
        <v>9</v>
      </c>
      <c r="F7" s="36">
        <v>-1.60838778674366</v>
      </c>
      <c r="G7" s="43">
        <v>0.178003322700691</v>
      </c>
      <c r="H7" s="36">
        <f t="shared" si="0"/>
        <v>-0.286298370231582</v>
      </c>
      <c r="I7" s="36" t="s">
        <v>10</v>
      </c>
      <c r="J7" s="36">
        <v>0.0150035444981892</v>
      </c>
      <c r="K7" s="43">
        <v>1.22754385964912</v>
      </c>
      <c r="L7" s="36">
        <f t="shared" si="1"/>
        <v>0.0184175089217245</v>
      </c>
      <c r="M7" s="36" t="s">
        <v>11</v>
      </c>
      <c r="N7" s="36">
        <v>-10.4760605333504</v>
      </c>
      <c r="O7" s="43">
        <v>0.0513054140728177</v>
      </c>
      <c r="P7" s="36">
        <f t="shared" si="2"/>
        <v>-0.537478623515446</v>
      </c>
      <c r="Q7" s="39" t="s">
        <v>12</v>
      </c>
      <c r="R7" s="39">
        <v>-2.42813257526562</v>
      </c>
      <c r="S7" s="43">
        <v>-0.0257328805885683</v>
      </c>
      <c r="T7" s="39">
        <f t="shared" si="3"/>
        <v>0.062482845612523</v>
      </c>
      <c r="U7" s="39" t="s">
        <v>13</v>
      </c>
      <c r="V7" s="39">
        <v>0.239727087699224</v>
      </c>
      <c r="W7" s="43">
        <v>-0.615789473684211</v>
      </c>
      <c r="X7" s="39">
        <f t="shared" si="4"/>
        <v>-0.147621417162154</v>
      </c>
      <c r="Y7" s="39" t="s">
        <v>13</v>
      </c>
      <c r="Z7" s="39">
        <v>0.304111669107887</v>
      </c>
      <c r="AA7" s="39">
        <v>-0.6158</v>
      </c>
      <c r="AB7" s="39">
        <f>Z7*AA7</f>
        <v>-0.187271965836637</v>
      </c>
      <c r="AC7" s="36">
        <v>-0.253681654825836</v>
      </c>
      <c r="AD7" s="36">
        <v>0.0075744356216384</v>
      </c>
      <c r="AE7" s="36">
        <v>-0.137819870807671</v>
      </c>
      <c r="AF7" s="36">
        <v>-0.468108992005654</v>
      </c>
      <c r="AG7" s="39">
        <v>0.125003497631903</v>
      </c>
      <c r="AH7" s="39">
        <v>-0.187271965836637</v>
      </c>
      <c r="AI7" s="43">
        <v>-0.968421052631579</v>
      </c>
      <c r="AJ7" s="39">
        <f>AI7-AC7-AD7-AE7-AF7-AG7-AH7</f>
        <v>-0.0541165024093224</v>
      </c>
    </row>
    <row r="8" spans="1:36">
      <c r="A8" s="35" t="s">
        <v>17</v>
      </c>
      <c r="B8" s="36" t="s">
        <v>70</v>
      </c>
      <c r="C8" s="36" t="s">
        <v>71</v>
      </c>
      <c r="D8" s="36" t="s">
        <v>8</v>
      </c>
      <c r="E8" s="36" t="s">
        <v>9</v>
      </c>
      <c r="F8" s="36">
        <v>0.822914574903157</v>
      </c>
      <c r="G8" s="43">
        <v>0.0982210038986361</v>
      </c>
      <c r="H8" s="36">
        <f t="shared" si="0"/>
        <v>0.0808274956698074</v>
      </c>
      <c r="I8" s="36" t="s">
        <v>10</v>
      </c>
      <c r="J8" s="36">
        <v>-0.0394970395242989</v>
      </c>
      <c r="K8" s="43">
        <v>0.0540350877192984</v>
      </c>
      <c r="L8" s="36">
        <f t="shared" si="1"/>
        <v>-0.00213422599534809</v>
      </c>
      <c r="M8" s="36" t="s">
        <v>11</v>
      </c>
      <c r="N8" s="36">
        <v>-3.26296183421728</v>
      </c>
      <c r="O8" s="43">
        <v>0.0668347953216375</v>
      </c>
      <c r="P8" s="36">
        <f t="shared" si="2"/>
        <v>-0.218079386332227</v>
      </c>
      <c r="Q8" s="39" t="s">
        <v>12</v>
      </c>
      <c r="R8" s="39">
        <v>14.5970230339067</v>
      </c>
      <c r="S8" s="43">
        <v>-0.0168000730994153</v>
      </c>
      <c r="T8" s="39">
        <f t="shared" si="3"/>
        <v>-0.245231054003481</v>
      </c>
      <c r="U8" s="39" t="s">
        <v>13</v>
      </c>
      <c r="V8" s="39">
        <v>-1.12117356647619</v>
      </c>
      <c r="W8" s="43">
        <v>-0.685964912280701</v>
      </c>
      <c r="X8" s="39">
        <f t="shared" si="4"/>
        <v>0.76908572717928</v>
      </c>
      <c r="Y8" s="39" t="s">
        <v>13</v>
      </c>
      <c r="Z8" s="39">
        <v>-1.77438790145608</v>
      </c>
      <c r="AA8" s="39">
        <v>-0.686</v>
      </c>
      <c r="AB8" s="39">
        <f>Z8*AA8</f>
        <v>1.21723010039887</v>
      </c>
      <c r="AC8" s="36">
        <v>0.0595460444374368</v>
      </c>
      <c r="AD8" s="36">
        <v>0.00117552520207339</v>
      </c>
      <c r="AE8" s="36">
        <v>-0.574533251336929</v>
      </c>
      <c r="AF8" s="36">
        <v>0.545485942588461</v>
      </c>
      <c r="AG8" s="39">
        <v>-0.0295225791581825</v>
      </c>
      <c r="AH8" s="39">
        <v>1.21723010039887</v>
      </c>
      <c r="AI8" s="43">
        <v>2.85789473684211</v>
      </c>
      <c r="AJ8" s="39">
        <f>AI8-AC8-AD8-AE8-AF8-AG8-AH8</f>
        <v>1.63851295471038</v>
      </c>
    </row>
    <row r="9" spans="1:36">
      <c r="A9" s="35" t="s">
        <v>17</v>
      </c>
      <c r="B9" s="36" t="s">
        <v>70</v>
      </c>
      <c r="C9" s="36" t="s">
        <v>71</v>
      </c>
      <c r="D9" s="36" t="s">
        <v>14</v>
      </c>
      <c r="E9" s="36" t="s">
        <v>9</v>
      </c>
      <c r="F9" s="36">
        <v>2.83171367928707</v>
      </c>
      <c r="G9" s="43">
        <v>0.298062865497074</v>
      </c>
      <c r="H9" s="36">
        <f t="shared" si="0"/>
        <v>0.844028693515566</v>
      </c>
      <c r="I9" s="36" t="s">
        <v>10</v>
      </c>
      <c r="J9" s="36">
        <v>0.0190008566549326</v>
      </c>
      <c r="K9" s="43">
        <v>0.895087719298245</v>
      </c>
      <c r="L9" s="36">
        <f t="shared" si="1"/>
        <v>0.0170074334479765</v>
      </c>
      <c r="M9" s="36" t="s">
        <v>11</v>
      </c>
      <c r="N9" s="36">
        <v>11.5374988928067</v>
      </c>
      <c r="O9" s="43">
        <v>0.0415880847953216</v>
      </c>
      <c r="P9" s="36">
        <f t="shared" si="2"/>
        <v>0.479822482279974</v>
      </c>
      <c r="Q9" s="39" t="s">
        <v>12</v>
      </c>
      <c r="R9" s="39">
        <v>-2.7277598351401</v>
      </c>
      <c r="S9" s="43">
        <v>-0.0354952485380118</v>
      </c>
      <c r="T9" s="39">
        <f t="shared" si="3"/>
        <v>0.0968225133003039</v>
      </c>
      <c r="U9" s="39" t="s">
        <v>13</v>
      </c>
      <c r="V9" s="39">
        <v>-1.12117356647619</v>
      </c>
      <c r="W9" s="43">
        <v>-0.685964912280701</v>
      </c>
      <c r="X9" s="39">
        <f t="shared" si="4"/>
        <v>0.76908572717928</v>
      </c>
      <c r="Y9" s="39" t="s">
        <v>13</v>
      </c>
      <c r="Z9" s="39">
        <v>-1.4989486958521</v>
      </c>
      <c r="AA9" s="39">
        <v>-0.686</v>
      </c>
      <c r="AB9" s="39">
        <f>Z9*AA9</f>
        <v>1.02827880535454</v>
      </c>
      <c r="AC9" s="36">
        <v>0.57361598898697</v>
      </c>
      <c r="AD9" s="36">
        <v>-0.0361172000725743</v>
      </c>
      <c r="AE9" s="36">
        <v>-0.314418422801514</v>
      </c>
      <c r="AF9" s="36">
        <v>1.04536811161516</v>
      </c>
      <c r="AG9" s="39">
        <v>-0.155297649455295</v>
      </c>
      <c r="AH9" s="39">
        <v>1.02827880535454</v>
      </c>
      <c r="AI9" s="43">
        <v>2.85789473684211</v>
      </c>
      <c r="AJ9" s="39">
        <f>AI9-AC9-AD9-AE9-AF9-AG9-AH9</f>
        <v>0.716465103214823</v>
      </c>
    </row>
    <row r="10" spans="1:36">
      <c r="A10" s="35" t="s">
        <v>17</v>
      </c>
      <c r="B10" s="36" t="s">
        <v>70</v>
      </c>
      <c r="C10" s="36" t="s">
        <v>71</v>
      </c>
      <c r="D10" s="36" t="s">
        <v>15</v>
      </c>
      <c r="E10" s="36" t="s">
        <v>9</v>
      </c>
      <c r="F10" s="36">
        <v>4.00727442593884</v>
      </c>
      <c r="G10" s="43">
        <v>0.178003322700691</v>
      </c>
      <c r="H10" s="36">
        <f t="shared" si="0"/>
        <v>0.713308162790618</v>
      </c>
      <c r="I10" s="36" t="s">
        <v>10</v>
      </c>
      <c r="J10" s="36">
        <v>0.0450478192085915</v>
      </c>
      <c r="K10" s="43">
        <v>0.747543859649124</v>
      </c>
      <c r="L10" s="36">
        <f t="shared" si="1"/>
        <v>0.0336752206399664</v>
      </c>
      <c r="M10" s="36" t="s">
        <v>11</v>
      </c>
      <c r="N10" s="36">
        <v>4.45956732710271</v>
      </c>
      <c r="O10" s="43">
        <v>0.0547772572793222</v>
      </c>
      <c r="P10" s="36">
        <f t="shared" si="2"/>
        <v>0.244282866831164</v>
      </c>
      <c r="Q10" s="39" t="s">
        <v>12</v>
      </c>
      <c r="R10" s="39">
        <v>1.11545561004243</v>
      </c>
      <c r="S10" s="43">
        <v>-0.0254376779645449</v>
      </c>
      <c r="T10" s="39">
        <f t="shared" si="3"/>
        <v>-0.0283746005920043</v>
      </c>
      <c r="U10" s="39" t="s">
        <v>13</v>
      </c>
      <c r="V10" s="39">
        <v>-1.2307906824883</v>
      </c>
      <c r="W10" s="43">
        <v>-0.685964912280701</v>
      </c>
      <c r="X10" s="39">
        <f t="shared" si="4"/>
        <v>0.844279222548991</v>
      </c>
      <c r="Y10" s="39" t="s">
        <v>13</v>
      </c>
      <c r="Z10" s="39">
        <v>-1.60989056537098</v>
      </c>
      <c r="AA10" s="39">
        <v>-0.686</v>
      </c>
      <c r="AB10" s="39">
        <f>Z10*AA10</f>
        <v>1.10438492784449</v>
      </c>
      <c r="AC10" s="36">
        <v>0.495936118328522</v>
      </c>
      <c r="AD10" s="36">
        <v>0.00503625051490124</v>
      </c>
      <c r="AE10" s="36">
        <v>-0.610581223584481</v>
      </c>
      <c r="AF10" s="36">
        <v>0.930782030674335</v>
      </c>
      <c r="AG10" s="39">
        <v>-0.0847637565510875</v>
      </c>
      <c r="AH10" s="39">
        <v>1.10438492784449</v>
      </c>
      <c r="AI10" s="43">
        <v>2.85789473684211</v>
      </c>
      <c r="AJ10" s="39">
        <f>AI10-AC10-AD10-AE10-AF10-AG10-AH10</f>
        <v>1.01710038961543</v>
      </c>
    </row>
    <row r="11" spans="1:36">
      <c r="A11" s="37" t="s">
        <v>18</v>
      </c>
      <c r="B11" s="38"/>
      <c r="C11" s="36" t="s">
        <v>71</v>
      </c>
      <c r="D11" s="38" t="s">
        <v>8</v>
      </c>
      <c r="E11" s="38" t="s">
        <v>9</v>
      </c>
      <c r="F11" s="38">
        <v>0.0396273519076625</v>
      </c>
      <c r="G11" s="43">
        <v>0.129528867102397</v>
      </c>
      <c r="H11" s="38">
        <f t="shared" si="0"/>
        <v>0.00513288599886753</v>
      </c>
      <c r="I11" s="38" t="s">
        <v>10</v>
      </c>
      <c r="J11" s="38">
        <v>0.00719276171826948</v>
      </c>
      <c r="K11" s="43">
        <v>-1.45392156862745</v>
      </c>
      <c r="L11" s="38">
        <f t="shared" si="1"/>
        <v>-0.0104577114001898</v>
      </c>
      <c r="M11" s="36" t="s">
        <v>11</v>
      </c>
      <c r="N11" s="38">
        <v>-2.19850971539519</v>
      </c>
      <c r="O11" s="43">
        <v>0.039398206090948</v>
      </c>
      <c r="P11" s="38">
        <f t="shared" si="2"/>
        <v>-0.0866173388600911</v>
      </c>
      <c r="Q11" s="41" t="s">
        <v>12</v>
      </c>
      <c r="R11" s="41">
        <v>-0.625156075308449</v>
      </c>
      <c r="S11" s="43">
        <v>-0.0850438047559448</v>
      </c>
      <c r="T11" s="41">
        <f t="shared" si="3"/>
        <v>0.0531656512105245</v>
      </c>
      <c r="U11" s="39" t="s">
        <v>13</v>
      </c>
      <c r="V11" s="38">
        <v>0.334768234520412</v>
      </c>
      <c r="W11" s="43">
        <v>0.294117647</v>
      </c>
      <c r="X11" s="39">
        <f t="shared" si="4"/>
        <v>0.0984612454274877</v>
      </c>
      <c r="Y11" s="39" t="s">
        <v>13</v>
      </c>
      <c r="Z11" s="38">
        <v>0.204024721850271</v>
      </c>
      <c r="AA11" s="39">
        <v>0.2941</v>
      </c>
      <c r="AB11" s="39">
        <f>Z11*AA11</f>
        <v>0.0600036706961647</v>
      </c>
      <c r="AC11" s="38">
        <v>-0.00371228221501018</v>
      </c>
      <c r="AD11" s="38">
        <v>-0.000883116113578755</v>
      </c>
      <c r="AE11" s="38">
        <v>0.0149508633351876</v>
      </c>
      <c r="AF11" s="38">
        <v>-0.0608813720501841</v>
      </c>
      <c r="AG11" s="41">
        <v>0.00844244506363631</v>
      </c>
      <c r="AH11" s="39">
        <v>0.0600036706961647</v>
      </c>
      <c r="AI11" s="44">
        <v>0.00490196078431373</v>
      </c>
      <c r="AJ11" s="39">
        <f>AI11-AC11-AD11-AE11-AF11-AG11-AH11</f>
        <v>-0.0130182479319018</v>
      </c>
    </row>
    <row r="12" spans="1:36">
      <c r="A12" s="37" t="s">
        <v>18</v>
      </c>
      <c r="B12" s="38"/>
      <c r="C12" s="36" t="s">
        <v>71</v>
      </c>
      <c r="D12" s="38" t="s">
        <v>14</v>
      </c>
      <c r="E12" s="38" t="s">
        <v>9</v>
      </c>
      <c r="F12" s="38">
        <v>0.10559270119086</v>
      </c>
      <c r="G12" s="43">
        <v>0.348886846405227</v>
      </c>
      <c r="H12" s="38">
        <f t="shared" si="0"/>
        <v>0.0368399045218886</v>
      </c>
      <c r="I12" s="38" t="s">
        <v>10</v>
      </c>
      <c r="J12" s="38">
        <v>0.00711403492685822</v>
      </c>
      <c r="K12" s="43">
        <v>1.84779411764706</v>
      </c>
      <c r="L12" s="38">
        <f t="shared" si="1"/>
        <v>0.0131452718905844</v>
      </c>
      <c r="M12" s="36" t="s">
        <v>11</v>
      </c>
      <c r="N12" s="38">
        <v>-1.29860973734173</v>
      </c>
      <c r="O12" s="43">
        <v>0.0284211601307196</v>
      </c>
      <c r="P12" s="38">
        <f t="shared" si="2"/>
        <v>-0.036907995292301</v>
      </c>
      <c r="Q12" s="41" t="s">
        <v>12</v>
      </c>
      <c r="R12" s="41">
        <v>-0.0916682638292713</v>
      </c>
      <c r="S12" s="43">
        <v>-0.0213184232026143</v>
      </c>
      <c r="T12" s="41">
        <f t="shared" si="3"/>
        <v>0.00195422284256131</v>
      </c>
      <c r="U12" s="39" t="s">
        <v>13</v>
      </c>
      <c r="V12" s="38">
        <v>0.334768234520412</v>
      </c>
      <c r="W12" s="43">
        <v>0.294117647</v>
      </c>
      <c r="X12" s="39">
        <f t="shared" si="4"/>
        <v>0.0984612454274877</v>
      </c>
      <c r="Y12" s="39" t="s">
        <v>13</v>
      </c>
      <c r="Z12" s="38">
        <v>0.132420475243945</v>
      </c>
      <c r="AA12" s="39">
        <v>0.2941</v>
      </c>
      <c r="AB12" s="39">
        <f>Z12*AA12</f>
        <v>0.0389448617692442</v>
      </c>
      <c r="AC12" s="38">
        <v>0.0640884066826523</v>
      </c>
      <c r="AD12" s="38">
        <v>0.0236223685508963</v>
      </c>
      <c r="AE12" s="38">
        <v>0.0303483670838942</v>
      </c>
      <c r="AF12" s="38">
        <v>-0.159099288763613</v>
      </c>
      <c r="AG12" s="41">
        <v>0.0449035341624573</v>
      </c>
      <c r="AH12" s="39">
        <v>0.0389448617692443</v>
      </c>
      <c r="AI12" s="44">
        <v>0.00490196078431373</v>
      </c>
      <c r="AJ12" s="39">
        <f>AI12-AC12-AD12-AE12-AF12-AG12-AH12</f>
        <v>-0.0379062887012176</v>
      </c>
    </row>
    <row r="13" spans="1:36">
      <c r="A13" s="37" t="s">
        <v>18</v>
      </c>
      <c r="B13" s="38"/>
      <c r="C13" s="36" t="s">
        <v>71</v>
      </c>
      <c r="D13" s="38" t="s">
        <v>15</v>
      </c>
      <c r="E13" s="38" t="s">
        <v>9</v>
      </c>
      <c r="F13" s="38">
        <v>0.13620111404227</v>
      </c>
      <c r="G13" s="43">
        <v>0.222072563874035</v>
      </c>
      <c r="H13" s="38">
        <f t="shared" si="0"/>
        <v>0.0302465305978667</v>
      </c>
      <c r="I13" s="38" t="s">
        <v>10</v>
      </c>
      <c r="J13" s="38">
        <v>0.00810225368933122</v>
      </c>
      <c r="K13" s="43">
        <v>0.391421568627451</v>
      </c>
      <c r="L13" s="38">
        <f t="shared" si="1"/>
        <v>0.00317139684849558</v>
      </c>
      <c r="M13" s="36" t="s">
        <v>11</v>
      </c>
      <c r="N13" s="38">
        <v>-3.17761640332821</v>
      </c>
      <c r="O13" s="43">
        <v>0.0336123279098852</v>
      </c>
      <c r="P13" s="38">
        <f t="shared" si="2"/>
        <v>-0.106807084520498</v>
      </c>
      <c r="Q13" s="41" t="s">
        <v>12</v>
      </c>
      <c r="R13" s="41">
        <v>-0.918148086696537</v>
      </c>
      <c r="S13" s="43">
        <v>-0.0549019607843135</v>
      </c>
      <c r="T13" s="41">
        <f t="shared" si="3"/>
        <v>0.0504081302500057</v>
      </c>
      <c r="U13" s="39" t="s">
        <v>13</v>
      </c>
      <c r="V13" s="38">
        <v>0.357992186963413</v>
      </c>
      <c r="W13" s="43">
        <v>0.294117647</v>
      </c>
      <c r="X13" s="39">
        <f t="shared" si="4"/>
        <v>0.105291819674063</v>
      </c>
      <c r="Y13" s="39" t="s">
        <v>13</v>
      </c>
      <c r="Z13" s="38">
        <v>0.273093961307763</v>
      </c>
      <c r="AA13" s="39">
        <v>0.2941</v>
      </c>
      <c r="AB13" s="39">
        <f>Z13*AA13</f>
        <v>0.0803169340206131</v>
      </c>
      <c r="AC13" s="38">
        <v>0.00915572491342858</v>
      </c>
      <c r="AD13" s="38">
        <v>0.00796588581315791</v>
      </c>
      <c r="AE13" s="38">
        <v>-0.0149659534802091</v>
      </c>
      <c r="AF13" s="38">
        <v>-0.109810736768088</v>
      </c>
      <c r="AG13" s="41">
        <v>0.058009836393881</v>
      </c>
      <c r="AH13" s="39">
        <v>0.0803169340206131</v>
      </c>
      <c r="AI13" s="44">
        <v>0.00490196078431373</v>
      </c>
      <c r="AJ13" s="39">
        <f>AI13-AC13-AD13-AE13-AF13-AG13-AH13</f>
        <v>-0.0257697301084698</v>
      </c>
    </row>
    <row r="14" spans="1:36">
      <c r="A14" s="35" t="s">
        <v>19</v>
      </c>
      <c r="B14" s="39"/>
      <c r="C14" s="36" t="s">
        <v>71</v>
      </c>
      <c r="D14" s="36" t="s">
        <v>8</v>
      </c>
      <c r="E14" s="36" t="s">
        <v>9</v>
      </c>
      <c r="F14" s="39">
        <v>-7.20685611252079</v>
      </c>
      <c r="G14" s="43">
        <v>-0.102089496617361</v>
      </c>
      <c r="H14" s="36">
        <f t="shared" si="0"/>
        <v>0.735744312720999</v>
      </c>
      <c r="I14" s="36" t="s">
        <v>10</v>
      </c>
      <c r="J14" s="39">
        <v>0.738121001822128</v>
      </c>
      <c r="K14" s="43">
        <v>2.03952528379773</v>
      </c>
      <c r="L14" s="36">
        <f t="shared" si="1"/>
        <v>1.50541644571834</v>
      </c>
      <c r="M14" s="36" t="s">
        <v>11</v>
      </c>
      <c r="N14" s="39">
        <v>15.8209905529179</v>
      </c>
      <c r="O14" s="43">
        <v>0.0207094073584472</v>
      </c>
      <c r="P14" s="36">
        <f t="shared" si="2"/>
        <v>0.327643338174522</v>
      </c>
      <c r="Q14" s="39" t="s">
        <v>12</v>
      </c>
      <c r="R14" s="39">
        <v>5.04707868692453</v>
      </c>
      <c r="S14" s="43">
        <v>-0.0283902088333855</v>
      </c>
      <c r="T14" s="39">
        <f t="shared" si="3"/>
        <v>-0.143287617920316</v>
      </c>
      <c r="U14" s="39" t="s">
        <v>13</v>
      </c>
      <c r="V14" s="39">
        <v>0.20359987329095</v>
      </c>
      <c r="W14" s="43">
        <v>0.588235294117647</v>
      </c>
      <c r="X14" s="39">
        <f t="shared" si="4"/>
        <v>0.119764631347618</v>
      </c>
      <c r="Y14" s="39" t="s">
        <v>13</v>
      </c>
      <c r="Z14" s="39">
        <v>-0.203629031151945</v>
      </c>
      <c r="AA14" s="39">
        <v>0.5882</v>
      </c>
      <c r="AB14" s="39">
        <f>Z14*AA14</f>
        <v>-0.119774596123574</v>
      </c>
      <c r="AC14" s="36">
        <v>-0.13799984695827</v>
      </c>
      <c r="AD14" s="36">
        <v>0.359153193603543</v>
      </c>
      <c r="AE14" s="36">
        <v>-0.367255907579936</v>
      </c>
      <c r="AF14" s="36">
        <v>0.871610966971161</v>
      </c>
      <c r="AG14" s="39">
        <v>-0.0674628030875865</v>
      </c>
      <c r="AH14" s="39">
        <v>-0.119774596123574</v>
      </c>
      <c r="AI14" s="39">
        <v>0.30416951469583</v>
      </c>
      <c r="AJ14" s="39">
        <f>AI14-AC14-AD14-AE14-AF14-AG14-AH14</f>
        <v>-0.234101492129508</v>
      </c>
    </row>
    <row r="15" spans="1:36">
      <c r="A15" s="35" t="s">
        <v>19</v>
      </c>
      <c r="B15" s="39"/>
      <c r="C15" s="36" t="s">
        <v>71</v>
      </c>
      <c r="D15" s="36" t="s">
        <v>14</v>
      </c>
      <c r="E15" s="36" t="s">
        <v>9</v>
      </c>
      <c r="F15" s="39">
        <v>1.7373828160204</v>
      </c>
      <c r="G15" s="43">
        <v>-0.117199184830762</v>
      </c>
      <c r="H15" s="36">
        <f t="shared" si="0"/>
        <v>-0.203619849776565</v>
      </c>
      <c r="I15" s="36" t="s">
        <v>10</v>
      </c>
      <c r="J15" s="39">
        <v>-0.150752102479849</v>
      </c>
      <c r="K15" s="43">
        <v>-0.543859649122807</v>
      </c>
      <c r="L15" s="36">
        <f t="shared" si="1"/>
        <v>0.0819879855592161</v>
      </c>
      <c r="M15" s="36" t="s">
        <v>11</v>
      </c>
      <c r="N15" s="39">
        <v>-10.2445176261737</v>
      </c>
      <c r="O15" s="43">
        <v>0.0521828364698923</v>
      </c>
      <c r="P15" s="36">
        <f t="shared" si="2"/>
        <v>-0.534587987999551</v>
      </c>
      <c r="Q15" s="39" t="s">
        <v>12</v>
      </c>
      <c r="R15" s="39">
        <v>14.2430602013746</v>
      </c>
      <c r="S15" s="43">
        <v>-0.0830637399844622</v>
      </c>
      <c r="T15" s="39">
        <f t="shared" si="3"/>
        <v>-1.18308184915002</v>
      </c>
      <c r="U15" s="39" t="s">
        <v>13</v>
      </c>
      <c r="V15" s="39">
        <v>0.20359987329095</v>
      </c>
      <c r="W15" s="43">
        <v>0.588235294117647</v>
      </c>
      <c r="X15" s="39">
        <f t="shared" si="4"/>
        <v>0.119764631347618</v>
      </c>
      <c r="Y15" s="39" t="s">
        <v>13</v>
      </c>
      <c r="Z15" s="39">
        <v>-0.116221361963246</v>
      </c>
      <c r="AA15" s="39">
        <v>0.5882</v>
      </c>
      <c r="AB15" s="39">
        <f>Z15*AA15</f>
        <v>-0.0683614051067813</v>
      </c>
      <c r="AC15" s="36">
        <v>0.0996564166340406</v>
      </c>
      <c r="AD15" s="36">
        <v>0.00161369134822741</v>
      </c>
      <c r="AE15" s="36">
        <v>-0.00271303245548886</v>
      </c>
      <c r="AF15" s="36">
        <v>0.75149827524878</v>
      </c>
      <c r="AG15" s="39">
        <v>-0.422422507318058</v>
      </c>
      <c r="AH15" s="39">
        <v>-0.0683614051067814</v>
      </c>
      <c r="AI15" s="39">
        <v>0.30416951469583</v>
      </c>
      <c r="AJ15" s="39">
        <f>AI15-AC15-AD15-AE15-AF15-AG15-AH15</f>
        <v>-0.0551019236548898</v>
      </c>
    </row>
    <row r="16" spans="1:36">
      <c r="A16" s="35" t="s">
        <v>19</v>
      </c>
      <c r="B16" s="39"/>
      <c r="C16" s="36" t="s">
        <v>71</v>
      </c>
      <c r="D16" s="36" t="s">
        <v>15</v>
      </c>
      <c r="E16" s="36" t="s">
        <v>9</v>
      </c>
      <c r="F16" s="39">
        <v>-1.58797327731836</v>
      </c>
      <c r="G16" s="43">
        <v>-0.1127226439206</v>
      </c>
      <c r="H16" s="36">
        <f t="shared" si="0"/>
        <v>0.179000546294586</v>
      </c>
      <c r="I16" s="36" t="s">
        <v>10</v>
      </c>
      <c r="J16" s="39">
        <v>0.156721985185074</v>
      </c>
      <c r="K16" s="43">
        <v>1.52714138286894</v>
      </c>
      <c r="L16" s="36">
        <f t="shared" si="1"/>
        <v>0.239336629181499</v>
      </c>
      <c r="M16" s="36" t="s">
        <v>11</v>
      </c>
      <c r="N16" s="39">
        <v>6.26259822533652</v>
      </c>
      <c r="O16" s="43">
        <v>0.0365214298624598</v>
      </c>
      <c r="P16" s="36">
        <f t="shared" si="2"/>
        <v>0.228719041843393</v>
      </c>
      <c r="Q16" s="39" t="s">
        <v>12</v>
      </c>
      <c r="R16" s="39">
        <v>9.28911617123206</v>
      </c>
      <c r="S16" s="43">
        <v>-0.0550768746392402</v>
      </c>
      <c r="T16" s="39">
        <f t="shared" si="3"/>
        <v>-0.511615486872287</v>
      </c>
      <c r="U16" s="39" t="s">
        <v>13</v>
      </c>
      <c r="V16" s="39">
        <v>0.138504788280968</v>
      </c>
      <c r="W16" s="43">
        <v>0.588235294117647</v>
      </c>
      <c r="X16" s="39">
        <f t="shared" si="4"/>
        <v>0.0814734048711576</v>
      </c>
      <c r="Y16" s="39" t="s">
        <v>13</v>
      </c>
      <c r="Z16" s="39">
        <v>0.032592768409458</v>
      </c>
      <c r="AA16" s="39">
        <v>0.5882</v>
      </c>
      <c r="AB16" s="39">
        <f>Z16*AA16</f>
        <v>0.0191710663784432</v>
      </c>
      <c r="AC16" s="38">
        <v>0.0272131185204778</v>
      </c>
      <c r="AD16" s="36">
        <v>0.235937481412586</v>
      </c>
      <c r="AE16" s="36">
        <v>-0.418877018897044</v>
      </c>
      <c r="AF16" s="36">
        <v>2.03155027476936</v>
      </c>
      <c r="AG16" s="39">
        <v>-1.14611193394024</v>
      </c>
      <c r="AH16" s="39">
        <v>0.0191710663784432</v>
      </c>
      <c r="AI16" s="39">
        <v>0.30416951469583</v>
      </c>
      <c r="AJ16" s="39">
        <f>AI16-AC16-AD16-AE16-AF16-AG16-AH16</f>
        <v>-0.444713473547753</v>
      </c>
    </row>
    <row r="17" spans="1:36">
      <c r="A17" s="37" t="s">
        <v>20</v>
      </c>
      <c r="B17" s="39"/>
      <c r="C17" s="36" t="s">
        <v>71</v>
      </c>
      <c r="D17" s="38" t="s">
        <v>8</v>
      </c>
      <c r="E17" s="38" t="s">
        <v>9</v>
      </c>
      <c r="F17" s="39">
        <v>-0.513624485930134</v>
      </c>
      <c r="G17" s="43">
        <v>-0.109534722222223</v>
      </c>
      <c r="H17" s="38">
        <f t="shared" si="0"/>
        <v>0.0562597153928893</v>
      </c>
      <c r="I17" s="36" t="s">
        <v>10</v>
      </c>
      <c r="J17" s="39">
        <v>0.371763153656663</v>
      </c>
      <c r="K17" s="43">
        <v>2.83676470588235</v>
      </c>
      <c r="L17" s="38">
        <f t="shared" si="1"/>
        <v>1.05460459324074</v>
      </c>
      <c r="M17" s="36" t="s">
        <v>11</v>
      </c>
      <c r="N17" s="39">
        <v>8.66823773094697</v>
      </c>
      <c r="O17" s="43">
        <v>-0.010477338476373</v>
      </c>
      <c r="P17" s="36">
        <f t="shared" si="2"/>
        <v>-0.0908200607007989</v>
      </c>
      <c r="Q17" s="39" t="s">
        <v>12</v>
      </c>
      <c r="R17" s="39">
        <v>-4.47096366268461</v>
      </c>
      <c r="S17" s="43">
        <v>-0.0489151398264231</v>
      </c>
      <c r="T17" s="39">
        <f t="shared" si="3"/>
        <v>0.218697812719074</v>
      </c>
      <c r="U17" s="39" t="s">
        <v>13</v>
      </c>
      <c r="V17" s="39">
        <v>0.616508659073022</v>
      </c>
      <c r="W17" s="43">
        <v>-0.0426470588235294</v>
      </c>
      <c r="X17" s="39">
        <f t="shared" si="4"/>
        <v>-0.0262922810487024</v>
      </c>
      <c r="Y17" s="39" t="s">
        <v>13</v>
      </c>
      <c r="Z17" s="39">
        <v>0.291860577244893</v>
      </c>
      <c r="AA17" s="39">
        <v>-0.0426</v>
      </c>
      <c r="AB17" s="39">
        <f>Z17*AA17</f>
        <v>-0.0124332605906324</v>
      </c>
      <c r="AC17" s="38">
        <v>-0.281226737038667</v>
      </c>
      <c r="AD17" s="38">
        <v>-0.0395818025026094</v>
      </c>
      <c r="AE17" s="38">
        <v>-0.0642092229398711</v>
      </c>
      <c r="AF17" s="38">
        <v>0.0909656724897819</v>
      </c>
      <c r="AG17" s="41">
        <v>-0.0508947488411533</v>
      </c>
      <c r="AH17" s="39">
        <v>-0.0124332605906324</v>
      </c>
      <c r="AI17" s="39">
        <v>-0.629901960784314</v>
      </c>
      <c r="AJ17" s="39">
        <f>AI17-AC17-AD17-AE17-AF17-AG17-AH17</f>
        <v>-0.272521861361163</v>
      </c>
    </row>
    <row r="18" spans="1:36">
      <c r="A18" s="37" t="s">
        <v>20</v>
      </c>
      <c r="B18" s="39"/>
      <c r="C18" s="36" t="s">
        <v>71</v>
      </c>
      <c r="D18" s="38" t="s">
        <v>14</v>
      </c>
      <c r="E18" s="38" t="s">
        <v>9</v>
      </c>
      <c r="F18" s="39">
        <v>-0.522612128206288</v>
      </c>
      <c r="G18" s="43">
        <v>-0.0654048361768931</v>
      </c>
      <c r="H18" s="38">
        <f t="shared" si="0"/>
        <v>0.0341813606293897</v>
      </c>
      <c r="I18" s="36" t="s">
        <v>10</v>
      </c>
      <c r="J18" s="39">
        <v>-0.0590522955435591</v>
      </c>
      <c r="K18" s="43">
        <v>-0.341617647058824</v>
      </c>
      <c r="L18" s="38">
        <f t="shared" si="1"/>
        <v>0.0201733062570129</v>
      </c>
      <c r="M18" s="36" t="s">
        <v>11</v>
      </c>
      <c r="N18" s="39">
        <v>-7.93934548032369</v>
      </c>
      <c r="O18" s="43">
        <v>0.083563162970107</v>
      </c>
      <c r="P18" s="36">
        <f t="shared" si="2"/>
        <v>-0.663436820248271</v>
      </c>
      <c r="Q18" s="39" t="s">
        <v>12</v>
      </c>
      <c r="R18" s="39">
        <v>13.0108907132519</v>
      </c>
      <c r="S18" s="43">
        <v>-0.0938235294117642</v>
      </c>
      <c r="T18" s="39">
        <f t="shared" si="3"/>
        <v>-1.22072768750804</v>
      </c>
      <c r="U18" s="39" t="s">
        <v>13</v>
      </c>
      <c r="V18" s="39">
        <v>0.616508659073022</v>
      </c>
      <c r="W18" s="43">
        <v>-0.0426470588235294</v>
      </c>
      <c r="X18" s="39">
        <f t="shared" si="4"/>
        <v>-0.0262922810487024</v>
      </c>
      <c r="Y18" s="39" t="s">
        <v>13</v>
      </c>
      <c r="Z18" s="39">
        <v>0.500771888211025</v>
      </c>
      <c r="AA18" s="39">
        <v>-0.0426</v>
      </c>
      <c r="AB18" s="39">
        <f>Z18*AA18</f>
        <v>-0.0213328824377897</v>
      </c>
      <c r="AC18" s="38">
        <v>0.0229470277075246</v>
      </c>
      <c r="AD18" s="38">
        <v>-0.0179805447413067</v>
      </c>
      <c r="AE18" s="38">
        <v>0.178701019264201</v>
      </c>
      <c r="AF18" s="38">
        <v>-0.641577349115408</v>
      </c>
      <c r="AG18" s="41">
        <v>-0.0180948699045903</v>
      </c>
      <c r="AH18" s="39">
        <v>-0.0213328824377897</v>
      </c>
      <c r="AI18" s="39">
        <v>-0.629901960784314</v>
      </c>
      <c r="AJ18" s="39">
        <f>AI18-AC18-AD18-AE18-AF18-AG18-AH18</f>
        <v>-0.132564361556945</v>
      </c>
    </row>
    <row r="19" spans="1:36">
      <c r="A19" s="37" t="s">
        <v>20</v>
      </c>
      <c r="B19" s="39"/>
      <c r="C19" s="36" t="s">
        <v>71</v>
      </c>
      <c r="D19" s="38" t="s">
        <v>15</v>
      </c>
      <c r="E19" s="38" t="s">
        <v>9</v>
      </c>
      <c r="F19" s="39">
        <v>0.835214974846813</v>
      </c>
      <c r="G19" s="43">
        <v>-0.0928492700808367</v>
      </c>
      <c r="H19" s="36">
        <f t="shared" si="0"/>
        <v>-0.077549100775111</v>
      </c>
      <c r="I19" s="36" t="s">
        <v>10</v>
      </c>
      <c r="J19" s="39">
        <v>0.0317946713389841</v>
      </c>
      <c r="K19" s="43">
        <v>2.395</v>
      </c>
      <c r="L19" s="38">
        <f t="shared" si="1"/>
        <v>0.0761482378568669</v>
      </c>
      <c r="M19" s="36" t="s">
        <v>11</v>
      </c>
      <c r="N19" s="39">
        <v>-6.44624324337281</v>
      </c>
      <c r="O19" s="43">
        <v>0.0386703937773482</v>
      </c>
      <c r="P19" s="36">
        <f t="shared" si="2"/>
        <v>-0.249278764605797</v>
      </c>
      <c r="Q19" s="39" t="s">
        <v>12</v>
      </c>
      <c r="R19" s="39">
        <v>2.90714456238029</v>
      </c>
      <c r="S19" s="43">
        <v>-0.0691079241614003</v>
      </c>
      <c r="T19" s="39">
        <f t="shared" si="3"/>
        <v>-0.200906725943204</v>
      </c>
      <c r="U19" s="39" t="s">
        <v>13</v>
      </c>
      <c r="V19" s="39">
        <v>0.256363406884856</v>
      </c>
      <c r="W19" s="43">
        <v>-0.0426470588235294</v>
      </c>
      <c r="X19" s="39">
        <f t="shared" si="4"/>
        <v>-0.0109331452936189</v>
      </c>
      <c r="Y19" s="39" t="s">
        <v>13</v>
      </c>
      <c r="Z19" s="39">
        <v>0.350414481122429</v>
      </c>
      <c r="AA19" s="39">
        <v>-0.0426</v>
      </c>
      <c r="AB19" s="39">
        <f>Z19*AA19</f>
        <v>-0.0149276568958155</v>
      </c>
      <c r="AC19" s="36">
        <v>-0.0400914573714566</v>
      </c>
      <c r="AD19" s="38">
        <v>0.0835896722463042</v>
      </c>
      <c r="AE19" s="38">
        <v>0.0283680460653212</v>
      </c>
      <c r="AF19" s="38">
        <v>-0.367831777611563</v>
      </c>
      <c r="AG19" s="41">
        <v>-0.131288001132476</v>
      </c>
      <c r="AH19" s="39">
        <v>-0.0149276568958155</v>
      </c>
      <c r="AI19" s="39">
        <v>-0.629901960784314</v>
      </c>
      <c r="AJ19" s="39">
        <f>AI19-AC19-AD19-AE19-AF19-AG19-AH19</f>
        <v>-0.187720786084628</v>
      </c>
    </row>
    <row r="20" spans="1:36">
      <c r="A20" s="35" t="s">
        <v>21</v>
      </c>
      <c r="B20" s="39"/>
      <c r="C20" s="36" t="s">
        <v>71</v>
      </c>
      <c r="D20" s="36" t="s">
        <v>8</v>
      </c>
      <c r="E20" s="36" t="s">
        <v>9</v>
      </c>
      <c r="F20" s="39">
        <v>0.0795468996597315</v>
      </c>
      <c r="G20" s="43">
        <v>-0.894005847953232</v>
      </c>
      <c r="H20" s="36">
        <f t="shared" si="0"/>
        <v>-0.0711153934823489</v>
      </c>
      <c r="I20" s="36" t="s">
        <v>10</v>
      </c>
      <c r="J20" s="39">
        <v>0.0424026929674483</v>
      </c>
      <c r="K20" s="43">
        <v>1.9</v>
      </c>
      <c r="L20" s="39">
        <f t="shared" si="1"/>
        <v>0.0805651166381518</v>
      </c>
      <c r="M20" s="36" t="s">
        <v>11</v>
      </c>
      <c r="N20" s="39">
        <v>0.284144737869952</v>
      </c>
      <c r="O20" s="43">
        <v>0.0640475081509075</v>
      </c>
      <c r="P20" s="36">
        <f t="shared" si="2"/>
        <v>0.0181987624147632</v>
      </c>
      <c r="Q20" s="39" t="s">
        <v>12</v>
      </c>
      <c r="R20" s="39">
        <v>-4.43639253967646</v>
      </c>
      <c r="S20" s="43">
        <v>0.0062102158049991</v>
      </c>
      <c r="T20" s="39">
        <f t="shared" si="3"/>
        <v>-0.0275509550670788</v>
      </c>
      <c r="U20" s="39" t="s">
        <v>13</v>
      </c>
      <c r="V20" s="39">
        <v>0.316637401461719</v>
      </c>
      <c r="W20" s="43">
        <v>-0.771929824561404</v>
      </c>
      <c r="X20" s="39">
        <f t="shared" si="4"/>
        <v>-0.244421853759924</v>
      </c>
      <c r="Y20" s="39" t="s">
        <v>13</v>
      </c>
      <c r="Z20" s="39">
        <v>0.447070063381504</v>
      </c>
      <c r="AA20" s="39">
        <v>-0.7719</v>
      </c>
      <c r="AB20" s="39">
        <f>Z20*AA20</f>
        <v>-0.345093381924183</v>
      </c>
      <c r="AC20" s="36">
        <v>-0.126020832134773</v>
      </c>
      <c r="AD20" s="39">
        <v>-0.108431257307785</v>
      </c>
      <c r="AE20" s="36">
        <v>0.0417078060620795</v>
      </c>
      <c r="AF20" s="36">
        <v>0.133712673531695</v>
      </c>
      <c r="AG20" s="39">
        <v>0.0181126599593367</v>
      </c>
      <c r="AH20" s="39">
        <v>-0.345093381924183</v>
      </c>
      <c r="AI20" s="43">
        <v>-0.666666666666667</v>
      </c>
      <c r="AJ20" s="39">
        <f>AI20-AC20-AD20-AE20-AF20-AG20-AH20</f>
        <v>-0.280654334853037</v>
      </c>
    </row>
    <row r="21" spans="1:36">
      <c r="A21" s="35" t="s">
        <v>21</v>
      </c>
      <c r="B21" s="39"/>
      <c r="C21" s="36" t="s">
        <v>71</v>
      </c>
      <c r="D21" s="36" t="s">
        <v>14</v>
      </c>
      <c r="E21" s="36" t="s">
        <v>9</v>
      </c>
      <c r="F21" s="39">
        <v>-0.116504719839298</v>
      </c>
      <c r="G21" s="43">
        <v>-0.786708089668617</v>
      </c>
      <c r="H21" s="36">
        <f t="shared" si="0"/>
        <v>0.0916552055821516</v>
      </c>
      <c r="I21" s="36" t="s">
        <v>10</v>
      </c>
      <c r="J21" s="39">
        <v>-0.0185205088303114</v>
      </c>
      <c r="K21" s="43">
        <v>2.39175438596491</v>
      </c>
      <c r="L21" s="39">
        <f t="shared" si="1"/>
        <v>-0.0442965082251991</v>
      </c>
      <c r="M21" s="36" t="s">
        <v>11</v>
      </c>
      <c r="N21" s="39">
        <v>3.14718780268297</v>
      </c>
      <c r="O21" s="43">
        <v>0.031991926719455</v>
      </c>
      <c r="P21" s="36">
        <f t="shared" si="2"/>
        <v>0.100684601555796</v>
      </c>
      <c r="Q21" s="39" t="s">
        <v>12</v>
      </c>
      <c r="R21" s="39">
        <v>2.49468536410681</v>
      </c>
      <c r="S21" s="43">
        <v>-0.0266961651917405</v>
      </c>
      <c r="T21" s="39">
        <f t="shared" si="3"/>
        <v>-0.0665985325816127</v>
      </c>
      <c r="U21" s="39" t="s">
        <v>13</v>
      </c>
      <c r="V21" s="39">
        <v>0.316637401461719</v>
      </c>
      <c r="W21" s="43">
        <v>-0.771929824561404</v>
      </c>
      <c r="X21" s="39">
        <f t="shared" si="4"/>
        <v>-0.244421853759924</v>
      </c>
      <c r="Y21" s="39" t="s">
        <v>13</v>
      </c>
      <c r="Z21" s="39">
        <v>0.519459960225321</v>
      </c>
      <c r="AA21" s="39">
        <v>-0.7719</v>
      </c>
      <c r="AB21" s="39">
        <f>Z21*AA21</f>
        <v>-0.400971143297925</v>
      </c>
      <c r="AC21" s="36">
        <v>-0.00937677124214329</v>
      </c>
      <c r="AD21" s="39">
        <v>0.0150965012144609</v>
      </c>
      <c r="AE21" s="36">
        <v>0.33715795501127</v>
      </c>
      <c r="AF21" s="36">
        <v>-0.740963497108684</v>
      </c>
      <c r="AG21" s="39">
        <v>0.244645026238649</v>
      </c>
      <c r="AH21" s="39">
        <v>-0.400971143297926</v>
      </c>
      <c r="AI21" s="43">
        <v>-0.666666666666667</v>
      </c>
      <c r="AJ21" s="39">
        <f>AI21-AC21-AD21-AE21-AF21-AG21-AH21</f>
        <v>-0.112254737482294</v>
      </c>
    </row>
    <row r="22" spans="1:36">
      <c r="A22" s="35" t="s">
        <v>21</v>
      </c>
      <c r="B22" s="39"/>
      <c r="C22" s="36" t="s">
        <v>71</v>
      </c>
      <c r="D22" s="36" t="s">
        <v>15</v>
      </c>
      <c r="E22" s="36" t="s">
        <v>9</v>
      </c>
      <c r="F22" s="39">
        <v>0.227431233092562</v>
      </c>
      <c r="G22" s="43">
        <v>-0.801776809934705</v>
      </c>
      <c r="H22" s="36">
        <f t="shared" si="0"/>
        <v>-0.182349088548471</v>
      </c>
      <c r="I22" s="36" t="s">
        <v>10</v>
      </c>
      <c r="J22" s="39">
        <v>-0.0710860531644383</v>
      </c>
      <c r="K22" s="43">
        <v>4.32350877192982</v>
      </c>
      <c r="L22" s="39">
        <f t="shared" si="1"/>
        <v>-0.307341174418319</v>
      </c>
      <c r="M22" s="36" t="s">
        <v>11</v>
      </c>
      <c r="N22" s="39">
        <v>4.03828555615888</v>
      </c>
      <c r="O22" s="43">
        <v>0.0485130604288483</v>
      </c>
      <c r="P22" s="36">
        <f t="shared" si="2"/>
        <v>0.195909591214881</v>
      </c>
      <c r="Q22" s="39" t="s">
        <v>12</v>
      </c>
      <c r="R22" s="39">
        <v>-6.63704224342907</v>
      </c>
      <c r="S22" s="43">
        <v>-0.00998440545808942</v>
      </c>
      <c r="T22" s="39">
        <f t="shared" si="3"/>
        <v>0.0662669208008633</v>
      </c>
      <c r="U22" s="39" t="s">
        <v>13</v>
      </c>
      <c r="V22" s="39">
        <v>0.41099728029083</v>
      </c>
      <c r="W22" s="43">
        <v>-0.771929824561404</v>
      </c>
      <c r="X22" s="39">
        <f t="shared" si="4"/>
        <v>-0.317261058470115</v>
      </c>
      <c r="Y22" s="39" t="s">
        <v>13</v>
      </c>
      <c r="Z22" s="39">
        <v>0.322777153384801</v>
      </c>
      <c r="AA22" s="39">
        <v>-0.7719</v>
      </c>
      <c r="AB22" s="39">
        <f>Z22*AA22</f>
        <v>-0.249151684697728</v>
      </c>
      <c r="AC22" s="36">
        <v>-0.0105450225818707</v>
      </c>
      <c r="AD22" s="39">
        <v>-0.127551961980043</v>
      </c>
      <c r="AE22" s="36">
        <v>0.305862960535324</v>
      </c>
      <c r="AF22" s="36">
        <v>-0.598877921267539</v>
      </c>
      <c r="AG22" s="39">
        <v>0.159695842350893</v>
      </c>
      <c r="AH22" s="39">
        <v>-0.249151684697728</v>
      </c>
      <c r="AI22" s="43">
        <v>-0.666666666666667</v>
      </c>
      <c r="AJ22" s="39">
        <f>AI22-AC22-AD22-AE22-AF22-AG22-AH22</f>
        <v>-0.146098879025703</v>
      </c>
    </row>
    <row r="23" spans="1:36">
      <c r="A23" s="35" t="s">
        <v>22</v>
      </c>
      <c r="B23" s="39"/>
      <c r="C23" s="36" t="s">
        <v>71</v>
      </c>
      <c r="D23" s="36" t="s">
        <v>8</v>
      </c>
      <c r="E23" s="36" t="s">
        <v>9</v>
      </c>
      <c r="F23" s="39">
        <v>0.0795468996597315</v>
      </c>
      <c r="G23" s="43">
        <v>-0.894005847953232</v>
      </c>
      <c r="H23" s="36">
        <f t="shared" si="0"/>
        <v>-0.0711153934823489</v>
      </c>
      <c r="I23" s="36" t="s">
        <v>10</v>
      </c>
      <c r="J23" s="39">
        <v>0.0424026929674483</v>
      </c>
      <c r="K23" s="43">
        <v>1.55052631578947</v>
      </c>
      <c r="L23" s="39">
        <f t="shared" si="1"/>
        <v>0.0657464913063697</v>
      </c>
      <c r="M23" s="36" t="s">
        <v>11</v>
      </c>
      <c r="N23" s="39">
        <v>0.284144737869952</v>
      </c>
      <c r="O23" s="43">
        <v>0.0533950617283958</v>
      </c>
      <c r="P23" s="36">
        <f t="shared" si="2"/>
        <v>0.0151719258183649</v>
      </c>
      <c r="Q23" s="39" t="s">
        <v>12</v>
      </c>
      <c r="R23" s="39">
        <v>-4.43639253967646</v>
      </c>
      <c r="S23" s="43">
        <v>-0.00525503573749149</v>
      </c>
      <c r="T23" s="39">
        <f t="shared" si="3"/>
        <v>0.0233134013415404</v>
      </c>
      <c r="U23" s="39" t="s">
        <v>13</v>
      </c>
      <c r="V23" s="39">
        <v>0.316637401461718</v>
      </c>
      <c r="W23" s="43">
        <v>-0.424561403508772</v>
      </c>
      <c r="X23" s="39">
        <f t="shared" si="4"/>
        <v>-0.134432019567957</v>
      </c>
      <c r="Y23" s="39" t="s">
        <v>13</v>
      </c>
      <c r="Z23" s="39">
        <v>0.239039589003141</v>
      </c>
      <c r="AA23" s="39">
        <v>-0.4246</v>
      </c>
      <c r="AB23" s="39">
        <f>Z23*AA23</f>
        <v>-0.101496209490734</v>
      </c>
      <c r="AC23" s="36">
        <v>-0.0338956176837334</v>
      </c>
      <c r="AD23" s="39">
        <v>-0.00710813064424102</v>
      </c>
      <c r="AE23" s="36">
        <v>0.0265723119680647</v>
      </c>
      <c r="AF23" s="36">
        <v>0.232601191114824</v>
      </c>
      <c r="AG23" s="39">
        <v>0.0170947219611566</v>
      </c>
      <c r="AH23" s="39">
        <v>-0.101496209490733</v>
      </c>
      <c r="AI23" s="43">
        <v>0.152631578947368</v>
      </c>
      <c r="AJ23" s="39">
        <f>AI23-AC23-AD23-AE23-AF23-AG23-AH23</f>
        <v>0.0188633117220301</v>
      </c>
    </row>
    <row r="24" spans="1:36">
      <c r="A24" s="35" t="s">
        <v>22</v>
      </c>
      <c r="B24" s="39"/>
      <c r="C24" s="36" t="s">
        <v>71</v>
      </c>
      <c r="D24" s="36" t="s">
        <v>14</v>
      </c>
      <c r="E24" s="36" t="s">
        <v>9</v>
      </c>
      <c r="F24" s="39">
        <v>-0.116504719839298</v>
      </c>
      <c r="G24" s="43">
        <v>-0.786708089668617</v>
      </c>
      <c r="H24" s="36">
        <f t="shared" si="0"/>
        <v>0.0916552055821516</v>
      </c>
      <c r="I24" s="36" t="s">
        <v>10</v>
      </c>
      <c r="J24" s="39">
        <v>-0.0185205088303114</v>
      </c>
      <c r="K24" s="43">
        <v>2.4740350877193</v>
      </c>
      <c r="L24" s="39">
        <f t="shared" si="1"/>
        <v>-0.0458203886886055</v>
      </c>
      <c r="M24" s="36" t="s">
        <v>11</v>
      </c>
      <c r="N24" s="39">
        <v>3.14718780268298</v>
      </c>
      <c r="O24" s="43">
        <v>0.0358008447043549</v>
      </c>
      <c r="P24" s="36">
        <f t="shared" si="2"/>
        <v>0.112671981779293</v>
      </c>
      <c r="Q24" s="39" t="s">
        <v>12</v>
      </c>
      <c r="R24" s="39">
        <v>2.49468536410682</v>
      </c>
      <c r="S24" s="43">
        <v>-0.0182959714100066</v>
      </c>
      <c r="T24" s="39">
        <f t="shared" si="3"/>
        <v>-0.0456426920986603</v>
      </c>
      <c r="U24" s="39" t="s">
        <v>13</v>
      </c>
      <c r="V24" s="39">
        <v>0.316637401461718</v>
      </c>
      <c r="W24" s="43">
        <v>-0.424561403508772</v>
      </c>
      <c r="X24" s="39">
        <f t="shared" si="4"/>
        <v>-0.134432019567957</v>
      </c>
      <c r="Y24" s="39" t="s">
        <v>13</v>
      </c>
      <c r="Z24" s="39">
        <v>0.2781916593959</v>
      </c>
      <c r="AA24" s="39">
        <v>-0.4246</v>
      </c>
      <c r="AB24" s="39">
        <f>Z24*AA24</f>
        <v>-0.118120178579499</v>
      </c>
      <c r="AC24" s="36">
        <v>0.00793472785726065</v>
      </c>
      <c r="AD24" s="39">
        <v>0.040616123661279</v>
      </c>
      <c r="AE24" s="36">
        <v>0.243658525127663</v>
      </c>
      <c r="AF24" s="36">
        <v>-0.228159045217452</v>
      </c>
      <c r="AG24" s="39">
        <v>0.09481829249261</v>
      </c>
      <c r="AH24" s="39">
        <v>-0.118120178579499</v>
      </c>
      <c r="AI24" s="43">
        <v>0.152631578947368</v>
      </c>
      <c r="AJ24" s="39">
        <f>AI24-AC24-AD24-AE24-AF24-AG24-AH24</f>
        <v>0.111883133605506</v>
      </c>
    </row>
    <row r="25" spans="1:36">
      <c r="A25" s="35" t="s">
        <v>22</v>
      </c>
      <c r="B25" s="39"/>
      <c r="C25" s="36" t="s">
        <v>71</v>
      </c>
      <c r="D25" s="36" t="s">
        <v>15</v>
      </c>
      <c r="E25" s="36" t="s">
        <v>9</v>
      </c>
      <c r="F25" s="39">
        <v>0.227431233092562</v>
      </c>
      <c r="G25" s="43">
        <v>-0.801776809934705</v>
      </c>
      <c r="H25" s="36">
        <f t="shared" si="0"/>
        <v>-0.182349088548471</v>
      </c>
      <c r="I25" s="36" t="s">
        <v>10</v>
      </c>
      <c r="J25" s="39">
        <v>-0.0710860531644383</v>
      </c>
      <c r="K25" s="43">
        <v>4.20877192982456</v>
      </c>
      <c r="L25" s="39">
        <f t="shared" si="1"/>
        <v>-0.299184985160504</v>
      </c>
      <c r="M25" s="36" t="s">
        <v>11</v>
      </c>
      <c r="N25" s="39">
        <v>4.03828555615888</v>
      </c>
      <c r="O25" s="43">
        <v>0.0441036311709506</v>
      </c>
      <c r="P25" s="36">
        <f t="shared" si="2"/>
        <v>0.178103056731808</v>
      </c>
      <c r="Q25" s="39" t="s">
        <v>12</v>
      </c>
      <c r="R25" s="39">
        <v>-6.63704224342907</v>
      </c>
      <c r="S25" s="43">
        <v>-0.0133553651570788</v>
      </c>
      <c r="T25" s="39">
        <f t="shared" si="3"/>
        <v>0.0886401227239527</v>
      </c>
      <c r="U25" s="39" t="s">
        <v>13</v>
      </c>
      <c r="V25" s="39">
        <v>0.41099728029083</v>
      </c>
      <c r="W25" s="43">
        <v>-0.424561403508772</v>
      </c>
      <c r="X25" s="39">
        <f t="shared" si="4"/>
        <v>-0.174493582158563</v>
      </c>
      <c r="Y25" s="39" t="s">
        <v>13</v>
      </c>
      <c r="Z25" s="39">
        <v>0.194473251475512</v>
      </c>
      <c r="AA25" s="39">
        <v>-0.4246</v>
      </c>
      <c r="AB25" s="39">
        <f>Z25*AA25</f>
        <v>-0.0825733425765024</v>
      </c>
      <c r="AC25" s="36">
        <v>-0.0248475347570555</v>
      </c>
      <c r="AD25" s="39">
        <v>-0.00595970592752461</v>
      </c>
      <c r="AE25" s="36">
        <v>0.305809666476926</v>
      </c>
      <c r="AF25" s="36">
        <v>-0.144915428463612</v>
      </c>
      <c r="AG25" s="39">
        <v>0.0728300672570889</v>
      </c>
      <c r="AH25" s="39">
        <v>-0.0825733425765026</v>
      </c>
      <c r="AI25" s="43">
        <v>0.152631578947368</v>
      </c>
      <c r="AJ25" s="39">
        <f>AI25-AC25-AD25-AE25-AF25-AG25-AH25</f>
        <v>0.0322878569380479</v>
      </c>
    </row>
    <row r="26" spans="1:36">
      <c r="A26" s="37" t="s">
        <v>23</v>
      </c>
      <c r="B26" s="39"/>
      <c r="C26" s="36" t="s">
        <v>71</v>
      </c>
      <c r="D26" s="36" t="s">
        <v>8</v>
      </c>
      <c r="E26" s="36" t="s">
        <v>9</v>
      </c>
      <c r="F26" s="39">
        <v>0.226564039764089</v>
      </c>
      <c r="G26" s="43">
        <v>-0.894005847953232</v>
      </c>
      <c r="H26" s="36">
        <f t="shared" si="0"/>
        <v>-0.202549576485004</v>
      </c>
      <c r="I26" s="36" t="s">
        <v>10</v>
      </c>
      <c r="J26" s="39">
        <v>0.0388345618954849</v>
      </c>
      <c r="K26" s="43">
        <v>1.05578947368421</v>
      </c>
      <c r="L26" s="39">
        <f t="shared" si="1"/>
        <v>0.0410011216643909</v>
      </c>
      <c r="M26" s="36" t="s">
        <v>11</v>
      </c>
      <c r="N26" s="39">
        <v>-12.5561441168537</v>
      </c>
      <c r="O26" s="43">
        <v>0.0708157894736845</v>
      </c>
      <c r="P26" s="36">
        <f t="shared" si="2"/>
        <v>-0.889173258380354</v>
      </c>
      <c r="Q26" s="39" t="s">
        <v>12</v>
      </c>
      <c r="R26" s="39">
        <v>5.7463220674117</v>
      </c>
      <c r="S26" s="43">
        <v>0.0352573099415206</v>
      </c>
      <c r="T26" s="39">
        <f t="shared" si="3"/>
        <v>0.202599858154534</v>
      </c>
      <c r="U26" s="39" t="s">
        <v>13</v>
      </c>
      <c r="V26" s="39">
        <v>0.720777352017101</v>
      </c>
      <c r="W26" s="39">
        <v>-1.078947368</v>
      </c>
      <c r="X26" s="39">
        <f t="shared" si="4"/>
        <v>-0.777680826872861</v>
      </c>
      <c r="Y26" s="39" t="s">
        <v>13</v>
      </c>
      <c r="Z26" s="39">
        <v>0.618039046191357</v>
      </c>
      <c r="AA26" s="39">
        <v>-1.0789</v>
      </c>
      <c r="AB26" s="39">
        <f>Z26*AA26</f>
        <v>-0.666802326935855</v>
      </c>
      <c r="AC26" s="36">
        <v>-0.000858538694633025</v>
      </c>
      <c r="AD26" s="39">
        <v>0.0854851028748684</v>
      </c>
      <c r="AE26" s="36">
        <v>-0.061851177336938</v>
      </c>
      <c r="AF26" s="36">
        <v>-0.390720919917948</v>
      </c>
      <c r="AG26" s="39">
        <v>-0.00375421916444935</v>
      </c>
      <c r="AH26" s="39">
        <v>-0.666802326935855</v>
      </c>
      <c r="AI26" s="43">
        <v>-1.39824561403509</v>
      </c>
      <c r="AJ26" s="39">
        <f>AI26-AC26-AD26-AE26-AF26-AG26-AH26</f>
        <v>-0.359743534860135</v>
      </c>
    </row>
    <row r="27" spans="1:36">
      <c r="A27" s="37" t="s">
        <v>23</v>
      </c>
      <c r="B27" s="39"/>
      <c r="C27" s="36" t="s">
        <v>71</v>
      </c>
      <c r="D27" s="36" t="s">
        <v>14</v>
      </c>
      <c r="E27" s="36" t="s">
        <v>9</v>
      </c>
      <c r="F27" s="39">
        <v>-0.260181924682198</v>
      </c>
      <c r="G27" s="43">
        <v>-0.786708089668617</v>
      </c>
      <c r="H27" s="36">
        <f t="shared" si="0"/>
        <v>0.204687224933036</v>
      </c>
      <c r="I27" s="36" t="s">
        <v>10</v>
      </c>
      <c r="J27" s="39">
        <v>0.0475781244534358</v>
      </c>
      <c r="K27" s="43">
        <v>0.807543859649123</v>
      </c>
      <c r="L27" s="39">
        <f t="shared" si="1"/>
        <v>0.0384214222559939</v>
      </c>
      <c r="M27" s="36" t="s">
        <v>11</v>
      </c>
      <c r="N27" s="39">
        <v>-4.5050163116468</v>
      </c>
      <c r="O27" s="43">
        <v>0.0348040935672522</v>
      </c>
      <c r="P27" s="36">
        <f t="shared" si="2"/>
        <v>-0.156793009232553</v>
      </c>
      <c r="Q27" s="39" t="s">
        <v>12</v>
      </c>
      <c r="R27" s="39">
        <v>3.47118226514903</v>
      </c>
      <c r="S27" s="43">
        <v>-0.0636345029239765</v>
      </c>
      <c r="T27" s="39">
        <f t="shared" si="3"/>
        <v>-0.220886958001281</v>
      </c>
      <c r="U27" s="39" t="s">
        <v>13</v>
      </c>
      <c r="V27" s="39">
        <v>0.720777352017101</v>
      </c>
      <c r="W27" s="39">
        <v>-1.078947368</v>
      </c>
      <c r="X27" s="39">
        <f t="shared" si="4"/>
        <v>-0.777680826872861</v>
      </c>
      <c r="Y27" s="39" t="s">
        <v>13</v>
      </c>
      <c r="Z27" s="39">
        <v>0.507018313515773</v>
      </c>
      <c r="AA27" s="39">
        <v>-1.0789</v>
      </c>
      <c r="AB27" s="39">
        <f>Z27*AA27</f>
        <v>-0.547022058452167</v>
      </c>
      <c r="AC27" s="36">
        <v>0.0954198100794995</v>
      </c>
      <c r="AD27" s="39">
        <v>0.0100226745014054</v>
      </c>
      <c r="AE27" s="36">
        <v>-0.0591065902528967</v>
      </c>
      <c r="AF27" s="36">
        <v>-0.227773208120118</v>
      </c>
      <c r="AG27" s="39">
        <v>-0.201545117543195</v>
      </c>
      <c r="AH27" s="39">
        <v>-0.547022058452167</v>
      </c>
      <c r="AI27" s="43">
        <v>-1.39824561403509</v>
      </c>
      <c r="AJ27" s="39">
        <f>AI27-AC27-AD27-AE27-AF27-AG27-AH27</f>
        <v>-0.468241124247618</v>
      </c>
    </row>
    <row r="28" spans="1:36">
      <c r="A28" s="37" t="s">
        <v>23</v>
      </c>
      <c r="B28" s="39"/>
      <c r="C28" s="36" t="s">
        <v>71</v>
      </c>
      <c r="D28" s="36" t="s">
        <v>15</v>
      </c>
      <c r="E28" s="36" t="s">
        <v>9</v>
      </c>
      <c r="F28" s="39">
        <v>-0.0754141575029466</v>
      </c>
      <c r="G28" s="43">
        <v>-0.801776809934705</v>
      </c>
      <c r="H28" s="36">
        <f t="shared" si="0"/>
        <v>0.0604653226266259</v>
      </c>
      <c r="I28" s="36" t="s">
        <v>10</v>
      </c>
      <c r="J28" s="39">
        <v>-0.000942511950284487</v>
      </c>
      <c r="K28" s="43">
        <v>1.91877192982456</v>
      </c>
      <c r="L28" s="39">
        <f t="shared" si="1"/>
        <v>-0.00180846547373007</v>
      </c>
      <c r="M28" s="36" t="s">
        <v>11</v>
      </c>
      <c r="N28" s="39">
        <v>-8.56887887989376</v>
      </c>
      <c r="O28" s="43">
        <v>0.0544699985257277</v>
      </c>
      <c r="P28" s="36">
        <f t="shared" si="2"/>
        <v>-0.466746819954952</v>
      </c>
      <c r="Q28" s="39" t="s">
        <v>12</v>
      </c>
      <c r="R28" s="39">
        <v>3.04801461784844</v>
      </c>
      <c r="S28" s="43">
        <v>-0.0126831785345716</v>
      </c>
      <c r="T28" s="39">
        <f t="shared" si="3"/>
        <v>-0.0386585135741558</v>
      </c>
      <c r="U28" s="39" t="s">
        <v>13</v>
      </c>
      <c r="V28" s="39">
        <v>0.938435299473787</v>
      </c>
      <c r="W28" s="39">
        <v>-1.078947368</v>
      </c>
      <c r="X28" s="39">
        <f t="shared" si="4"/>
        <v>-1.01252229640553</v>
      </c>
      <c r="Y28" s="39" t="s">
        <v>13</v>
      </c>
      <c r="Z28" s="39">
        <v>0.642251849992374</v>
      </c>
      <c r="AA28" s="39">
        <v>-1.0789</v>
      </c>
      <c r="AB28" s="39">
        <f>Z28*AA28</f>
        <v>-0.692925520956772</v>
      </c>
      <c r="AC28" s="36">
        <v>0.276413212381952</v>
      </c>
      <c r="AD28" s="39">
        <v>0.191916940208182</v>
      </c>
      <c r="AE28" s="36">
        <v>0.294831342771632</v>
      </c>
      <c r="AF28" s="36">
        <v>-1.24478619662376</v>
      </c>
      <c r="AG28" s="39">
        <v>0.0540003978220695</v>
      </c>
      <c r="AH28" s="39">
        <v>-0.692925520956773</v>
      </c>
      <c r="AI28" s="43">
        <v>-1.39824561403509</v>
      </c>
      <c r="AJ28" s="39">
        <f>AI28-AC28-AD28-AE28-AF28-AG28-AH28</f>
        <v>-0.277695789638393</v>
      </c>
    </row>
    <row r="29" spans="1:36">
      <c r="A29" s="35" t="s">
        <v>24</v>
      </c>
      <c r="B29" s="39"/>
      <c r="C29" s="36" t="s">
        <v>71</v>
      </c>
      <c r="D29" s="36" t="s">
        <v>8</v>
      </c>
      <c r="E29" s="36" t="s">
        <v>9</v>
      </c>
      <c r="F29" s="36">
        <v>-3.22306313776486</v>
      </c>
      <c r="G29" s="43">
        <v>0.0568064243956044</v>
      </c>
      <c r="H29" s="36">
        <f t="shared" si="0"/>
        <v>-0.183090692457699</v>
      </c>
      <c r="I29" s="36" t="s">
        <v>10</v>
      </c>
      <c r="J29" s="36">
        <v>-0.0454280198965175</v>
      </c>
      <c r="K29" s="43">
        <v>9.76978021978022</v>
      </c>
      <c r="L29" s="39">
        <f t="shared" si="1"/>
        <v>-0.443821770208779</v>
      </c>
      <c r="M29" s="36" t="s">
        <v>11</v>
      </c>
      <c r="N29" s="36">
        <v>10.366820465995</v>
      </c>
      <c r="O29" s="43">
        <v>-0.0204249831800813</v>
      </c>
      <c r="P29" s="36">
        <f t="shared" si="2"/>
        <v>-0.21174213364887</v>
      </c>
      <c r="Q29" s="39" t="s">
        <v>12</v>
      </c>
      <c r="R29" s="39">
        <v>1.301035748138</v>
      </c>
      <c r="S29" s="43">
        <v>-0.0926328773267552</v>
      </c>
      <c r="T29" s="39">
        <f t="shared" si="3"/>
        <v>-0.120518684854991</v>
      </c>
      <c r="U29" s="39" t="s">
        <v>13</v>
      </c>
      <c r="V29" s="39">
        <v>0.237869960436005</v>
      </c>
      <c r="W29" s="43">
        <v>1.32417582417582</v>
      </c>
      <c r="X29" s="39">
        <f t="shared" si="4"/>
        <v>0.314981650907017</v>
      </c>
      <c r="Y29" s="39" t="s">
        <v>13</v>
      </c>
      <c r="Z29" s="39">
        <v>-0.125912700264627</v>
      </c>
      <c r="AA29" s="39">
        <v>1.32417582417582</v>
      </c>
      <c r="AB29" s="39">
        <f>Z29*AA29</f>
        <v>-0.166730553647115</v>
      </c>
      <c r="AC29" s="39">
        <v>0.0118815194179508</v>
      </c>
      <c r="AD29" s="39">
        <v>0.0184280750963858</v>
      </c>
      <c r="AE29" s="39">
        <v>-0.00171980183780702</v>
      </c>
      <c r="AF29" s="39">
        <v>0.000956585730120285</v>
      </c>
      <c r="AG29" s="39">
        <v>0.139388607725287</v>
      </c>
      <c r="AH29" s="39">
        <v>-0.166730553647116</v>
      </c>
      <c r="AI29" s="44">
        <v>0.0274725274725274</v>
      </c>
      <c r="AJ29" s="39">
        <f>AI29-AC29-AD29-AE29-AF29-AG29-AH29</f>
        <v>0.0252680949877065</v>
      </c>
    </row>
    <row r="30" spans="1:36">
      <c r="A30" s="35" t="s">
        <v>24</v>
      </c>
      <c r="B30" s="39"/>
      <c r="C30" s="36" t="s">
        <v>71</v>
      </c>
      <c r="D30" s="36" t="s">
        <v>14</v>
      </c>
      <c r="E30" s="36" t="s">
        <v>9</v>
      </c>
      <c r="F30" s="36">
        <v>6.61406568272465</v>
      </c>
      <c r="G30" s="43">
        <v>0.142464882912088</v>
      </c>
      <c r="H30" s="36">
        <f t="shared" si="0"/>
        <v>0.942272093062227</v>
      </c>
      <c r="I30" s="36" t="s">
        <v>10</v>
      </c>
      <c r="J30" s="36">
        <v>-0.0481810561860433</v>
      </c>
      <c r="K30" s="43">
        <v>7.85714285714286</v>
      </c>
      <c r="L30" s="39">
        <f t="shared" si="1"/>
        <v>-0.378565441461769</v>
      </c>
      <c r="M30" s="36" t="s">
        <v>11</v>
      </c>
      <c r="N30" s="36">
        <v>3.25923601780893</v>
      </c>
      <c r="O30" s="43">
        <v>0.0155864543619622</v>
      </c>
      <c r="P30" s="36">
        <f t="shared" si="2"/>
        <v>0.0507999334464423</v>
      </c>
      <c r="Q30" s="39" t="s">
        <v>12</v>
      </c>
      <c r="R30" s="39">
        <v>1.61456476311264</v>
      </c>
      <c r="S30" s="43">
        <v>-0.0501177394034541</v>
      </c>
      <c r="T30" s="39">
        <f t="shared" si="3"/>
        <v>-0.0809183360476789</v>
      </c>
      <c r="U30" s="39" t="s">
        <v>13</v>
      </c>
      <c r="V30" s="39">
        <v>0.237869960436005</v>
      </c>
      <c r="W30" s="43">
        <v>1.32417582417582</v>
      </c>
      <c r="X30" s="39">
        <f t="shared" si="4"/>
        <v>0.314981650907017</v>
      </c>
      <c r="Y30" s="39" t="s">
        <v>13</v>
      </c>
      <c r="Z30" s="39">
        <v>0.0237408324187293</v>
      </c>
      <c r="AA30" s="39">
        <v>1.32417582417582</v>
      </c>
      <c r="AB30" s="39">
        <f>Z30*AA30</f>
        <v>0.0314370363346909</v>
      </c>
      <c r="AC30" s="39">
        <v>0.0623725922100769</v>
      </c>
      <c r="AD30" s="39">
        <v>-0.305616882268991</v>
      </c>
      <c r="AE30" s="39">
        <v>0.0438503248755012</v>
      </c>
      <c r="AF30" s="39">
        <v>0.00643669980532933</v>
      </c>
      <c r="AG30" s="39">
        <v>0.103357916446626</v>
      </c>
      <c r="AH30" s="39">
        <v>0.031437036334691</v>
      </c>
      <c r="AI30" s="44">
        <v>0.0274725274725274</v>
      </c>
      <c r="AJ30" s="39">
        <f>AI30-AC30-AD30-AE30-AF30-AG30-AH30</f>
        <v>0.085634840069294</v>
      </c>
    </row>
    <row r="31" spans="1:36">
      <c r="A31" s="35" t="s">
        <v>24</v>
      </c>
      <c r="B31" s="39"/>
      <c r="C31" s="36" t="s">
        <v>71</v>
      </c>
      <c r="D31" s="36" t="s">
        <v>15</v>
      </c>
      <c r="E31" s="36" t="s">
        <v>9</v>
      </c>
      <c r="F31" s="36">
        <v>1.58499907216922</v>
      </c>
      <c r="G31" s="43">
        <v>0.0998696934065933</v>
      </c>
      <c r="H31" s="36">
        <f t="shared" si="0"/>
        <v>0.158293371387275</v>
      </c>
      <c r="I31" s="36" t="s">
        <v>10</v>
      </c>
      <c r="J31" s="36">
        <v>-0.0175071746177854</v>
      </c>
      <c r="K31" s="43">
        <v>17.2395604395604</v>
      </c>
      <c r="L31" s="39">
        <f t="shared" si="1"/>
        <v>-0.301815994949249</v>
      </c>
      <c r="M31" s="36" t="s">
        <v>11</v>
      </c>
      <c r="N31" s="36">
        <v>4.72296274347553</v>
      </c>
      <c r="O31" s="43">
        <v>-0.000256410256409301</v>
      </c>
      <c r="P31" s="36">
        <f t="shared" si="2"/>
        <v>-0.00121101608806614</v>
      </c>
      <c r="Q31" s="39" t="s">
        <v>12</v>
      </c>
      <c r="R31" s="39">
        <v>0.228829933126995</v>
      </c>
      <c r="S31" s="43">
        <v>-0.0689180050718513</v>
      </c>
      <c r="T31" s="39">
        <f t="shared" si="3"/>
        <v>-0.0157705024918376</v>
      </c>
      <c r="U31" s="39" t="s">
        <v>13</v>
      </c>
      <c r="V31" s="39">
        <v>0.0466381598932721</v>
      </c>
      <c r="W31" s="43">
        <v>1.32417582417582</v>
      </c>
      <c r="X31" s="39">
        <f t="shared" si="4"/>
        <v>0.0617571238147173</v>
      </c>
      <c r="Y31" s="39" t="s">
        <v>13</v>
      </c>
      <c r="Z31" s="39">
        <v>0.0270263296284373</v>
      </c>
      <c r="AA31" s="39">
        <v>1.32417582417582</v>
      </c>
      <c r="AB31" s="39">
        <f>Z31*AA31</f>
        <v>0.0357876123101833</v>
      </c>
      <c r="AC31" s="39">
        <v>0.323851308496534</v>
      </c>
      <c r="AD31" s="39">
        <v>-0.485675634197159</v>
      </c>
      <c r="AE31" s="39">
        <v>0.0825097083412216</v>
      </c>
      <c r="AF31" s="39">
        <v>-0.067948073838903</v>
      </c>
      <c r="AG31" s="39">
        <v>0.126214640248378</v>
      </c>
      <c r="AH31" s="39">
        <v>0.0357876123101834</v>
      </c>
      <c r="AI31" s="44">
        <v>0.0274725274725274</v>
      </c>
      <c r="AJ31" s="39">
        <f>AI31-AC31-AD31-AE31-AF31-AG31-AH31</f>
        <v>0.0127329661122724</v>
      </c>
    </row>
    <row r="32" spans="1:36">
      <c r="A32" s="35" t="s">
        <v>25</v>
      </c>
      <c r="B32" s="39"/>
      <c r="C32" s="36" t="s">
        <v>71</v>
      </c>
      <c r="D32" s="36" t="s">
        <v>8</v>
      </c>
      <c r="E32" s="36" t="s">
        <v>9</v>
      </c>
      <c r="F32" s="36">
        <v>-2.62600676119833</v>
      </c>
      <c r="G32" s="43">
        <v>0.0568064243956044</v>
      </c>
      <c r="H32" s="36">
        <f t="shared" si="0"/>
        <v>-0.149174054542359</v>
      </c>
      <c r="I32" s="36" t="s">
        <v>10</v>
      </c>
      <c r="J32" s="36">
        <v>-0.096983249856517</v>
      </c>
      <c r="K32" s="43">
        <v>10.3038461538462</v>
      </c>
      <c r="L32" s="39">
        <f t="shared" si="1"/>
        <v>-0.999300486021578</v>
      </c>
      <c r="M32" s="36" t="s">
        <v>11</v>
      </c>
      <c r="N32" s="36">
        <v>-4.80606276836503</v>
      </c>
      <c r="O32" s="43">
        <v>-0.0322510822510791</v>
      </c>
      <c r="P32" s="36">
        <f t="shared" si="2"/>
        <v>0.15500072564639</v>
      </c>
      <c r="Q32" s="39" t="s">
        <v>12</v>
      </c>
      <c r="R32" s="39">
        <v>-5.15112032931628</v>
      </c>
      <c r="S32" s="43">
        <v>-0.097280497280497</v>
      </c>
      <c r="T32" s="39">
        <f t="shared" si="3"/>
        <v>0.501103547187565</v>
      </c>
      <c r="U32" s="39" t="s">
        <v>13</v>
      </c>
      <c r="V32" s="39">
        <v>-0.542191167324087</v>
      </c>
      <c r="W32" s="43">
        <v>0.824175824175824</v>
      </c>
      <c r="X32" s="39">
        <f t="shared" si="4"/>
        <v>-0.446860852190182</v>
      </c>
      <c r="Y32" s="39" t="s">
        <v>13</v>
      </c>
      <c r="Z32" s="39">
        <v>-0.425504073090794</v>
      </c>
      <c r="AA32" s="39">
        <v>0.824175824175824</v>
      </c>
      <c r="AB32" s="39">
        <f>Z32*AA32</f>
        <v>-0.350690170129775</v>
      </c>
      <c r="AC32" s="39">
        <v>-0.203777071468945</v>
      </c>
      <c r="AD32" s="39">
        <v>-0.262391737073257</v>
      </c>
      <c r="AE32" s="39">
        <v>0.00393118509333161</v>
      </c>
      <c r="AF32" s="39">
        <v>0.358601869367278</v>
      </c>
      <c r="AG32" s="39">
        <v>-0.338356344269983</v>
      </c>
      <c r="AH32" s="39">
        <v>-0.350690170129775</v>
      </c>
      <c r="AI32" s="43">
        <v>-0.95054945054945</v>
      </c>
      <c r="AJ32" s="39">
        <f>AI32-AC32-AD32-AE32-AF32-AG32-AH32</f>
        <v>-0.1578671820681</v>
      </c>
    </row>
    <row r="33" spans="1:36">
      <c r="A33" s="35" t="s">
        <v>25</v>
      </c>
      <c r="B33" s="39"/>
      <c r="C33" s="36" t="s">
        <v>71</v>
      </c>
      <c r="D33" s="36" t="s">
        <v>14</v>
      </c>
      <c r="E33" s="36" t="s">
        <v>9</v>
      </c>
      <c r="F33" s="36">
        <v>1.21953987659235</v>
      </c>
      <c r="G33" s="43">
        <v>0.142464882912088</v>
      </c>
      <c r="H33" s="36">
        <f t="shared" si="0"/>
        <v>0.173741605725351</v>
      </c>
      <c r="I33" s="36" t="s">
        <v>10</v>
      </c>
      <c r="J33" s="36">
        <v>-0.0162792334481679</v>
      </c>
      <c r="K33" s="43">
        <v>6.86593406593407</v>
      </c>
      <c r="L33" s="39">
        <f t="shared" si="1"/>
        <v>-0.111772143499069</v>
      </c>
      <c r="M33" s="36" t="s">
        <v>11</v>
      </c>
      <c r="N33" s="36">
        <v>-4.76593045726332</v>
      </c>
      <c r="O33" s="43">
        <v>0.0291930291930281</v>
      </c>
      <c r="P33" s="36">
        <f t="shared" si="2"/>
        <v>-0.13913194697083</v>
      </c>
      <c r="Q33" s="39" t="s">
        <v>12</v>
      </c>
      <c r="R33" s="39">
        <v>3.85189698952681</v>
      </c>
      <c r="S33" s="43">
        <v>-0.0322843822843826</v>
      </c>
      <c r="T33" s="39">
        <f t="shared" si="3"/>
        <v>-0.124356114929946</v>
      </c>
      <c r="U33" s="39" t="s">
        <v>13</v>
      </c>
      <c r="V33" s="39">
        <v>-0.542191167324087</v>
      </c>
      <c r="W33" s="43">
        <v>0.824175824175824</v>
      </c>
      <c r="X33" s="39">
        <f t="shared" si="4"/>
        <v>-0.446860852190182</v>
      </c>
      <c r="Y33" s="39" t="s">
        <v>13</v>
      </c>
      <c r="Z33" s="39">
        <v>-0.250952254611175</v>
      </c>
      <c r="AA33" s="39">
        <v>0.824175824175824</v>
      </c>
      <c r="AB33" s="39">
        <f>Z33*AA33</f>
        <v>-0.206828781272946</v>
      </c>
      <c r="AC33" s="39">
        <v>0.0881317068549922</v>
      </c>
      <c r="AD33" s="39">
        <v>-0.520284967527146</v>
      </c>
      <c r="AE33" s="39">
        <v>-0.099148841403851</v>
      </c>
      <c r="AF33" s="39">
        <v>0.0677212966561289</v>
      </c>
      <c r="AG33" s="39">
        <v>-0.360953409104728</v>
      </c>
      <c r="AH33" s="39">
        <v>-0.206828781272947</v>
      </c>
      <c r="AI33" s="43">
        <v>-0.95054945054945</v>
      </c>
      <c r="AJ33" s="39">
        <f>AI33-AC33-AD33-AE33-AF33-AG33-AH33</f>
        <v>0.080813545248101</v>
      </c>
    </row>
    <row r="34" spans="1:36">
      <c r="A34" s="35" t="s">
        <v>25</v>
      </c>
      <c r="B34" s="39"/>
      <c r="C34" s="36" t="s">
        <v>71</v>
      </c>
      <c r="D34" s="36" t="s">
        <v>15</v>
      </c>
      <c r="E34" s="36" t="s">
        <v>9</v>
      </c>
      <c r="F34" s="36">
        <v>2.25292359400565</v>
      </c>
      <c r="G34" s="43">
        <v>0.0998696934065933</v>
      </c>
      <c r="H34" s="36">
        <f t="shared" si="0"/>
        <v>0.224998788601825</v>
      </c>
      <c r="I34" s="36" t="s">
        <v>10</v>
      </c>
      <c r="J34" s="36">
        <v>-0.0363194714928357</v>
      </c>
      <c r="K34" s="43">
        <v>17.1445054945055</v>
      </c>
      <c r="L34" s="39">
        <f t="shared" si="1"/>
        <v>-0.622679378566457</v>
      </c>
      <c r="M34" s="36" t="s">
        <v>11</v>
      </c>
      <c r="N34" s="36">
        <v>-1.70317227396636</v>
      </c>
      <c r="O34" s="43">
        <v>0.000231494393931891</v>
      </c>
      <c r="P34" s="36">
        <f t="shared" si="2"/>
        <v>-0.000394274833323443</v>
      </c>
      <c r="Q34" s="39" t="s">
        <v>12</v>
      </c>
      <c r="R34" s="39">
        <v>3.95895835128328</v>
      </c>
      <c r="S34" s="43">
        <v>-0.0652507391086069</v>
      </c>
      <c r="T34" s="39">
        <f t="shared" si="3"/>
        <v>-0.258324958521426</v>
      </c>
      <c r="U34" s="39" t="s">
        <v>13</v>
      </c>
      <c r="V34" s="39">
        <v>-0.42698528225614</v>
      </c>
      <c r="W34" s="43">
        <v>0.824175824175824</v>
      </c>
      <c r="X34" s="39">
        <f t="shared" si="4"/>
        <v>-0.351910946914401</v>
      </c>
      <c r="Y34" s="39" t="s">
        <v>13</v>
      </c>
      <c r="Z34" s="39">
        <v>-0.323977520668417</v>
      </c>
      <c r="AA34" s="39">
        <v>0.824175824175824</v>
      </c>
      <c r="AB34" s="39">
        <f>Z34*AA34</f>
        <v>-0.267014440111333</v>
      </c>
      <c r="AC34" s="39">
        <v>0.0306437588056205</v>
      </c>
      <c r="AD34" s="39">
        <v>-0.546751738538514</v>
      </c>
      <c r="AE34" s="39">
        <v>-0.0258181092859086</v>
      </c>
      <c r="AF34" s="39">
        <v>0.0939738273593092</v>
      </c>
      <c r="AG34" s="39">
        <v>-0.267579837599849</v>
      </c>
      <c r="AH34" s="39">
        <v>-0.267014440111333</v>
      </c>
      <c r="AI34" s="43">
        <v>-0.95054945054945</v>
      </c>
      <c r="AJ34" s="39">
        <f>AI34-AC34-AD34-AE34-AF34-AG34-AH34</f>
        <v>0.0319970888212249</v>
      </c>
    </row>
    <row r="35" spans="1:36">
      <c r="A35" s="35" t="s">
        <v>26</v>
      </c>
      <c r="B35" s="39"/>
      <c r="C35" s="36" t="s">
        <v>71</v>
      </c>
      <c r="D35" s="36" t="s">
        <v>8</v>
      </c>
      <c r="E35" s="36" t="s">
        <v>9</v>
      </c>
      <c r="F35" s="36">
        <v>-2.00651816534497</v>
      </c>
      <c r="G35" s="43">
        <v>0.0568064243956044</v>
      </c>
      <c r="H35" s="36">
        <f t="shared" si="0"/>
        <v>-0.113983122458076</v>
      </c>
      <c r="I35" s="36" t="s">
        <v>10</v>
      </c>
      <c r="J35" s="36">
        <v>-0.0437310795048963</v>
      </c>
      <c r="K35" s="43">
        <v>8.82252747252747</v>
      </c>
      <c r="L35" s="39">
        <f t="shared" si="1"/>
        <v>-0.385818650335231</v>
      </c>
      <c r="M35" s="36" t="s">
        <v>11</v>
      </c>
      <c r="N35" s="36">
        <v>3.42601007456068</v>
      </c>
      <c r="O35" s="43">
        <v>-0.0113198629327637</v>
      </c>
      <c r="P35" s="36">
        <f t="shared" si="2"/>
        <v>-0.0387819644502944</v>
      </c>
      <c r="Q35" s="39" t="s">
        <v>12</v>
      </c>
      <c r="R35" s="39">
        <v>-4.58730438458689</v>
      </c>
      <c r="S35" s="43">
        <v>-0.084981684981685</v>
      </c>
      <c r="T35" s="39">
        <f t="shared" si="3"/>
        <v>0.389836856126065</v>
      </c>
      <c r="U35" s="39" t="s">
        <v>13</v>
      </c>
      <c r="V35" s="39">
        <v>0.598883596503795</v>
      </c>
      <c r="W35" s="43">
        <v>1.06043956043956</v>
      </c>
      <c r="X35" s="39">
        <f t="shared" si="4"/>
        <v>0.635079857830947</v>
      </c>
      <c r="Y35" s="39" t="s">
        <v>13</v>
      </c>
      <c r="Z35" s="39">
        <v>0.397260799443582</v>
      </c>
      <c r="AA35" s="39">
        <v>1.06043956043956</v>
      </c>
      <c r="AB35" s="39">
        <f>Z35*AA35</f>
        <v>0.42127106754182</v>
      </c>
      <c r="AC35" s="39">
        <v>-0.29113487199475</v>
      </c>
      <c r="AD35" s="39">
        <v>-0.428524220305164</v>
      </c>
      <c r="AE35" s="39">
        <v>0.00061969197786534</v>
      </c>
      <c r="AF35" s="39">
        <v>0.553005776675547</v>
      </c>
      <c r="AG35" s="39">
        <v>-0.102643702090764</v>
      </c>
      <c r="AH35" s="39">
        <v>0.421271067541821</v>
      </c>
      <c r="AI35" s="43">
        <v>0.10989010989011</v>
      </c>
      <c r="AJ35" s="39">
        <f>AI35-AC35-AD35-AE35-AF35-AG35-AH35</f>
        <v>-0.0427036319144453</v>
      </c>
    </row>
    <row r="36" spans="1:36">
      <c r="A36" s="35" t="s">
        <v>26</v>
      </c>
      <c r="B36" s="39"/>
      <c r="C36" s="36" t="s">
        <v>71</v>
      </c>
      <c r="D36" s="36" t="s">
        <v>14</v>
      </c>
      <c r="E36" s="36" t="s">
        <v>9</v>
      </c>
      <c r="F36" s="36">
        <v>-0.729935158556654</v>
      </c>
      <c r="G36" s="43">
        <v>0.142464882912088</v>
      </c>
      <c r="H36" s="36">
        <f t="shared" si="0"/>
        <v>-0.10399012689719</v>
      </c>
      <c r="I36" s="36" t="s">
        <v>10</v>
      </c>
      <c r="J36" s="36">
        <v>-0.0548245230115811</v>
      </c>
      <c r="K36" s="43">
        <v>8.71098901098901</v>
      </c>
      <c r="L36" s="39">
        <f t="shared" si="1"/>
        <v>-0.477575817486597</v>
      </c>
      <c r="M36" s="36" t="s">
        <v>11</v>
      </c>
      <c r="N36" s="36">
        <v>1.76155700679604</v>
      </c>
      <c r="O36" s="43">
        <v>0.0155541267243379</v>
      </c>
      <c r="P36" s="36">
        <f t="shared" si="2"/>
        <v>0.027399480915851</v>
      </c>
      <c r="Q36" s="39" t="s">
        <v>12</v>
      </c>
      <c r="R36" s="39">
        <v>-2.41921072961314</v>
      </c>
      <c r="S36" s="43">
        <v>-0.0639642272620999</v>
      </c>
      <c r="T36" s="39">
        <f t="shared" si="3"/>
        <v>0.154742944903885</v>
      </c>
      <c r="U36" s="39" t="s">
        <v>13</v>
      </c>
      <c r="V36" s="39">
        <v>0.598883596503795</v>
      </c>
      <c r="W36" s="43">
        <v>1.06043956043956</v>
      </c>
      <c r="X36" s="39">
        <f t="shared" si="4"/>
        <v>0.635079857830947</v>
      </c>
      <c r="Y36" s="39" t="s">
        <v>13</v>
      </c>
      <c r="Z36" s="39">
        <v>0.600233438114623</v>
      </c>
      <c r="AA36" s="39">
        <v>1.06043956043956</v>
      </c>
      <c r="AB36" s="39">
        <f>Z36*AA36</f>
        <v>0.636511283275397</v>
      </c>
      <c r="AC36" s="39">
        <v>-0.409545782500139</v>
      </c>
      <c r="AD36" s="39">
        <v>-0.523631817534901</v>
      </c>
      <c r="AE36" s="39">
        <v>0.0275553350303688</v>
      </c>
      <c r="AF36" s="39">
        <v>0.0306747548892451</v>
      </c>
      <c r="AG36" s="39">
        <v>0.219884339151843</v>
      </c>
      <c r="AH36" s="39">
        <v>0.636511283275397</v>
      </c>
      <c r="AI36" s="43">
        <v>0.10989010989011</v>
      </c>
      <c r="AJ36" s="39">
        <f>AI36-AC36-AD36-AE36-AF36-AG36-AH36</f>
        <v>0.128441997578296</v>
      </c>
    </row>
    <row r="37" spans="1:36">
      <c r="A37" s="35" t="s">
        <v>26</v>
      </c>
      <c r="B37" s="39"/>
      <c r="C37" s="36" t="s">
        <v>71</v>
      </c>
      <c r="D37" s="36" t="s">
        <v>15</v>
      </c>
      <c r="E37" s="36" t="s">
        <v>9</v>
      </c>
      <c r="F37" s="36">
        <v>-1.45678235798527</v>
      </c>
      <c r="G37" s="43">
        <v>0.0998696934065933</v>
      </c>
      <c r="H37" s="36">
        <f t="shared" si="0"/>
        <v>-0.145488407452123</v>
      </c>
      <c r="I37" s="36" t="s">
        <v>10</v>
      </c>
      <c r="J37" s="36">
        <v>-0.0547777706918477</v>
      </c>
      <c r="K37" s="43">
        <v>17.5032967032967</v>
      </c>
      <c r="L37" s="39">
        <f t="shared" si="1"/>
        <v>-0.958791573164561</v>
      </c>
      <c r="M37" s="36" t="s">
        <v>11</v>
      </c>
      <c r="N37" s="36">
        <v>5.10013470569996</v>
      </c>
      <c r="O37" s="43">
        <v>0.00246366536689235</v>
      </c>
      <c r="P37" s="36">
        <f t="shared" si="2"/>
        <v>0.0125650252409187</v>
      </c>
      <c r="Q37" s="39" t="s">
        <v>12</v>
      </c>
      <c r="R37" s="39">
        <v>-5.80486720042835</v>
      </c>
      <c r="S37" s="43">
        <v>-0.0751654259718774</v>
      </c>
      <c r="T37" s="39">
        <f t="shared" si="3"/>
        <v>0.436325315830376</v>
      </c>
      <c r="U37" s="39" t="s">
        <v>13</v>
      </c>
      <c r="V37" s="39">
        <v>0.593417494751549</v>
      </c>
      <c r="W37" s="43">
        <v>1.06043956043956</v>
      </c>
      <c r="X37" s="39">
        <f t="shared" si="4"/>
        <v>0.629283387291478</v>
      </c>
      <c r="Y37" s="39" t="s">
        <v>13</v>
      </c>
      <c r="Z37" s="39">
        <v>0.644774655842439</v>
      </c>
      <c r="AA37" s="39">
        <v>1.06043956043956</v>
      </c>
      <c r="AB37" s="39">
        <f>Z37*AA37</f>
        <v>0.683744552624125</v>
      </c>
      <c r="AC37" s="39">
        <v>-0.216212402720488</v>
      </c>
      <c r="AD37" s="39">
        <v>-0.970582235341179</v>
      </c>
      <c r="AE37" s="39">
        <v>0.0427416164620484</v>
      </c>
      <c r="AF37" s="39">
        <v>0.0801554363499618</v>
      </c>
      <c r="AG37" s="39">
        <v>0.426386306857492</v>
      </c>
      <c r="AH37" s="39">
        <v>0.683744552624125</v>
      </c>
      <c r="AI37" s="43">
        <v>0.10989010989011</v>
      </c>
      <c r="AJ37" s="39">
        <f>AI37-AC37-AD37-AE37-AF37-AG37-AH37</f>
        <v>0.0636568356581495</v>
      </c>
    </row>
    <row r="38" spans="1:36">
      <c r="A38" s="37" t="s">
        <v>27</v>
      </c>
      <c r="B38" s="41"/>
      <c r="C38" s="40" t="s">
        <v>72</v>
      </c>
      <c r="D38" s="38" t="s">
        <v>8</v>
      </c>
      <c r="E38" s="38" t="s">
        <v>9</v>
      </c>
      <c r="F38" s="44">
        <v>0.33551638090113</v>
      </c>
      <c r="G38" s="43">
        <v>1.3299486418947</v>
      </c>
      <c r="H38" s="38">
        <f t="shared" si="0"/>
        <v>0.446219555112883</v>
      </c>
      <c r="I38" s="38" t="s">
        <v>10</v>
      </c>
      <c r="J38" s="44">
        <v>-0.445987742728413</v>
      </c>
      <c r="K38" s="44">
        <v>4.50787878787879</v>
      </c>
      <c r="L38" s="41">
        <f t="shared" si="1"/>
        <v>-2.01045868509936</v>
      </c>
      <c r="M38" s="36" t="s">
        <v>11</v>
      </c>
      <c r="N38" s="44">
        <v>-3.15588772164824</v>
      </c>
      <c r="O38" s="44">
        <v>0.0053450164293538</v>
      </c>
      <c r="P38" s="38">
        <f t="shared" si="2"/>
        <v>-0.0168682717214058</v>
      </c>
      <c r="Q38" s="41" t="s">
        <v>12</v>
      </c>
      <c r="R38" s="44">
        <v>-15.0072043792986</v>
      </c>
      <c r="S38" s="44">
        <v>-0.191062431544359</v>
      </c>
      <c r="T38" s="41">
        <f t="shared" si="3"/>
        <v>2.86731295939194</v>
      </c>
      <c r="U38" s="41" t="s">
        <v>13</v>
      </c>
      <c r="V38" s="44">
        <v>-0.0155279083640211</v>
      </c>
      <c r="W38" s="44">
        <v>0.745454545454545</v>
      </c>
      <c r="X38" s="41">
        <f t="shared" si="4"/>
        <v>-0.0115753498713612</v>
      </c>
      <c r="Y38" s="39" t="s">
        <v>13</v>
      </c>
      <c r="Z38" s="39">
        <v>0.920289297000807</v>
      </c>
      <c r="AA38" s="39">
        <v>0.745454545454545</v>
      </c>
      <c r="AB38" s="39">
        <f>Z38*AA38</f>
        <v>0.686033839582419</v>
      </c>
      <c r="AC38" s="36">
        <v>0.0917103586098206</v>
      </c>
      <c r="AD38" s="39">
        <v>0.156223115865746</v>
      </c>
      <c r="AE38" s="36">
        <v>0.299665011801132</v>
      </c>
      <c r="AF38" s="36">
        <v>0.748141965285357</v>
      </c>
      <c r="AG38" s="39">
        <v>-2.37135265577548</v>
      </c>
      <c r="AH38" s="39">
        <v>0.68603383958242</v>
      </c>
      <c r="AI38" s="43">
        <v>-0.0666666666666667</v>
      </c>
      <c r="AJ38" s="39">
        <f>AI38-AC38-AD38-AE38-AF38-AG38-AH38</f>
        <v>0.322911697964338</v>
      </c>
    </row>
    <row r="39" spans="1:36">
      <c r="A39" s="37" t="s">
        <v>27</v>
      </c>
      <c r="B39" s="41"/>
      <c r="C39" s="40" t="s">
        <v>72</v>
      </c>
      <c r="D39" s="38" t="s">
        <v>14</v>
      </c>
      <c r="E39" s="38" t="s">
        <v>9</v>
      </c>
      <c r="F39" s="44">
        <v>-0.20086685554178</v>
      </c>
      <c r="G39" s="43">
        <v>-1.68456043956041</v>
      </c>
      <c r="H39" s="38">
        <f t="shared" si="0"/>
        <v>0.338372358464578</v>
      </c>
      <c r="I39" s="38" t="s">
        <v>10</v>
      </c>
      <c r="J39" s="44">
        <v>0.028216189884269</v>
      </c>
      <c r="K39" s="44">
        <v>4.67272727272727</v>
      </c>
      <c r="L39" s="41">
        <f t="shared" si="1"/>
        <v>0.131846560004675</v>
      </c>
      <c r="M39" s="36" t="s">
        <v>11</v>
      </c>
      <c r="N39" s="44">
        <v>-12.5339413274608</v>
      </c>
      <c r="O39" s="44">
        <v>0.0478495801387379</v>
      </c>
      <c r="P39" s="38">
        <f t="shared" si="2"/>
        <v>-0.599743830002574</v>
      </c>
      <c r="Q39" s="41" t="s">
        <v>12</v>
      </c>
      <c r="R39" s="44">
        <v>6.13304537114423</v>
      </c>
      <c r="S39" s="44">
        <v>0.0198320554947063</v>
      </c>
      <c r="T39" s="41">
        <f t="shared" si="3"/>
        <v>0.121630896152084</v>
      </c>
      <c r="U39" s="41" t="s">
        <v>13</v>
      </c>
      <c r="V39" s="44">
        <v>-0.0155279083640211</v>
      </c>
      <c r="W39" s="44">
        <v>0.745454545454545</v>
      </c>
      <c r="X39" s="41">
        <f t="shared" si="4"/>
        <v>-0.0115753498713612</v>
      </c>
      <c r="Y39" s="39" t="s">
        <v>13</v>
      </c>
      <c r="Z39" s="39">
        <v>0.175324096345127</v>
      </c>
      <c r="AA39" s="39">
        <v>0.745454545454545</v>
      </c>
      <c r="AB39" s="39">
        <f>Z39*AA39</f>
        <v>0.130696144548186</v>
      </c>
      <c r="AC39" s="36">
        <v>-1.26977922914073</v>
      </c>
      <c r="AD39" s="39">
        <v>0.759081700685334</v>
      </c>
      <c r="AE39" s="36">
        <v>0.016324421774834</v>
      </c>
      <c r="AF39" s="36">
        <v>-0.0901405988520169</v>
      </c>
      <c r="AG39" s="39">
        <v>0.326599802241961</v>
      </c>
      <c r="AH39" s="39">
        <v>0.130696144548186</v>
      </c>
      <c r="AI39" s="43">
        <v>-0.0666666666666667</v>
      </c>
      <c r="AJ39" s="39">
        <f>AI39-AC39-AD39-AE39-AF39-AG39-AH39</f>
        <v>0.0605510920757652</v>
      </c>
    </row>
    <row r="40" spans="1:36">
      <c r="A40" s="37" t="s">
        <v>27</v>
      </c>
      <c r="B40" s="41"/>
      <c r="C40" s="40" t="s">
        <v>72</v>
      </c>
      <c r="D40" s="38" t="s">
        <v>15</v>
      </c>
      <c r="E40" s="38" t="s">
        <v>9</v>
      </c>
      <c r="F40" s="44">
        <v>0.125412825300498</v>
      </c>
      <c r="G40" s="43">
        <v>-0.177305898832846</v>
      </c>
      <c r="H40" s="38">
        <f t="shared" si="0"/>
        <v>-0.0222364337150715</v>
      </c>
      <c r="I40" s="38" t="s">
        <v>10</v>
      </c>
      <c r="J40" s="44">
        <v>-0.039055829365831</v>
      </c>
      <c r="K40" s="44">
        <v>9.06848484848485</v>
      </c>
      <c r="L40" s="41">
        <f t="shared" si="1"/>
        <v>-0.354177196849048</v>
      </c>
      <c r="M40" s="36" t="s">
        <v>11</v>
      </c>
      <c r="N40" s="44">
        <v>-1.62171460618434</v>
      </c>
      <c r="O40" s="44">
        <v>0.0291643709825546</v>
      </c>
      <c r="P40" s="38">
        <f t="shared" si="2"/>
        <v>-0.0472962864025875</v>
      </c>
      <c r="Q40" s="41" t="s">
        <v>12</v>
      </c>
      <c r="R40" s="44">
        <v>-11.8275575650982</v>
      </c>
      <c r="S40" s="44">
        <v>-0.082167125803489</v>
      </c>
      <c r="T40" s="41">
        <f t="shared" si="3"/>
        <v>0.971836410399432</v>
      </c>
      <c r="U40" s="41" t="s">
        <v>13</v>
      </c>
      <c r="V40" s="44">
        <v>0.110596029893357</v>
      </c>
      <c r="W40" s="44">
        <v>0.745454545454545</v>
      </c>
      <c r="X40" s="41">
        <f t="shared" si="4"/>
        <v>0.0824443131932297</v>
      </c>
      <c r="Y40" s="39" t="s">
        <v>13</v>
      </c>
      <c r="Z40" s="39">
        <v>0.183622654966544</v>
      </c>
      <c r="AA40" s="39">
        <v>0.745454545454545</v>
      </c>
      <c r="AB40" s="39">
        <f>Z40*AA40</f>
        <v>0.136882342793242</v>
      </c>
      <c r="AC40" s="36">
        <v>0.0906523198559509</v>
      </c>
      <c r="AD40" s="39">
        <v>0.589010273944153</v>
      </c>
      <c r="AE40" s="36">
        <v>-0.120183398373402</v>
      </c>
      <c r="AF40" s="36">
        <v>-0.405174298500566</v>
      </c>
      <c r="AG40" s="39">
        <v>0.0560896891691469</v>
      </c>
      <c r="AH40" s="39">
        <v>0.136882342793242</v>
      </c>
      <c r="AI40" s="43">
        <v>-0.0666666666666667</v>
      </c>
      <c r="AJ40" s="39">
        <f>AI40-AC40-AD40-AE40-AF40-AG40-AH40</f>
        <v>-0.413943595555192</v>
      </c>
    </row>
    <row r="41" spans="1:36">
      <c r="A41" s="37" t="s">
        <v>28</v>
      </c>
      <c r="B41" s="41"/>
      <c r="C41" s="40" t="s">
        <v>72</v>
      </c>
      <c r="D41" s="38" t="s">
        <v>8</v>
      </c>
      <c r="E41" s="38" t="s">
        <v>9</v>
      </c>
      <c r="F41" s="44">
        <v>0.0538833749112752</v>
      </c>
      <c r="G41" s="43">
        <v>1.3299486418947</v>
      </c>
      <c r="H41" s="38">
        <f t="shared" si="0"/>
        <v>0.0716621212839534</v>
      </c>
      <c r="I41" s="38" t="s">
        <v>10</v>
      </c>
      <c r="J41" s="44">
        <v>0.0381364753398605</v>
      </c>
      <c r="K41" s="44">
        <v>4.65818181818182</v>
      </c>
      <c r="L41" s="41">
        <f t="shared" si="1"/>
        <v>0.177646636037677</v>
      </c>
      <c r="M41" s="36" t="s">
        <v>11</v>
      </c>
      <c r="N41" s="44">
        <v>-14.8862225242534</v>
      </c>
      <c r="O41" s="44">
        <v>-0.00867512332628311</v>
      </c>
      <c r="P41" s="38">
        <f t="shared" si="2"/>
        <v>0.129139816260392</v>
      </c>
      <c r="Q41" s="41" t="s">
        <v>12</v>
      </c>
      <c r="R41" s="44">
        <v>-8.43445875982907</v>
      </c>
      <c r="S41" s="44">
        <v>-0.188076109936575</v>
      </c>
      <c r="T41" s="41">
        <f t="shared" si="3"/>
        <v>1.58632019296912</v>
      </c>
      <c r="U41" s="41" t="s">
        <v>13</v>
      </c>
      <c r="V41" s="44">
        <v>-0.0851927664452936</v>
      </c>
      <c r="W41" s="44">
        <v>0.563636363636364</v>
      </c>
      <c r="X41" s="41">
        <f t="shared" si="4"/>
        <v>-0.0480177410873473</v>
      </c>
      <c r="Y41" s="39" t="s">
        <v>13</v>
      </c>
      <c r="Z41" s="39">
        <v>1.9451296787684</v>
      </c>
      <c r="AA41" s="39">
        <v>0.563636363636364</v>
      </c>
      <c r="AB41" s="39">
        <f>Z41*AA41</f>
        <v>1.09634581894219</v>
      </c>
      <c r="AC41" s="36">
        <v>-0.25457345505774</v>
      </c>
      <c r="AD41" s="39">
        <v>0.155173576458077</v>
      </c>
      <c r="AE41" s="36">
        <v>-0.454517875488332</v>
      </c>
      <c r="AF41" s="36">
        <v>2.10183245953563</v>
      </c>
      <c r="AG41" s="39">
        <v>-2.55923653307899</v>
      </c>
      <c r="AH41" s="39">
        <v>1.09634581894219</v>
      </c>
      <c r="AI41" s="43">
        <v>0.733333333333333</v>
      </c>
      <c r="AJ41" s="39">
        <f>AI41-AC41-AD41-AE41-AF41-AG41-AH41</f>
        <v>0.648309342022498</v>
      </c>
    </row>
    <row r="42" spans="1:36">
      <c r="A42" s="37" t="s">
        <v>28</v>
      </c>
      <c r="B42" s="41"/>
      <c r="C42" s="40" t="s">
        <v>72</v>
      </c>
      <c r="D42" s="38" t="s">
        <v>14</v>
      </c>
      <c r="E42" s="38" t="s">
        <v>9</v>
      </c>
      <c r="F42" s="44">
        <v>0.0591092019366611</v>
      </c>
      <c r="G42" s="43">
        <v>-1.68456043956041</v>
      </c>
      <c r="H42" s="38">
        <f t="shared" si="0"/>
        <v>-0.0995730231964869</v>
      </c>
      <c r="I42" s="38" t="s">
        <v>10</v>
      </c>
      <c r="J42" s="44">
        <v>-0.0861528037793728</v>
      </c>
      <c r="K42" s="44">
        <v>3.98363636363636</v>
      </c>
      <c r="L42" s="41">
        <f t="shared" si="1"/>
        <v>-0.343201441964738</v>
      </c>
      <c r="M42" s="36" t="s">
        <v>11</v>
      </c>
      <c r="N42" s="44">
        <v>-5.38511561535773</v>
      </c>
      <c r="O42" s="44">
        <v>0.0627516544757921</v>
      </c>
      <c r="P42" s="38">
        <f t="shared" si="2"/>
        <v>-0.337924914407121</v>
      </c>
      <c r="Q42" s="41" t="s">
        <v>12</v>
      </c>
      <c r="R42" s="44">
        <v>-6.43265292776322</v>
      </c>
      <c r="S42" s="44">
        <v>0.033730407523511</v>
      </c>
      <c r="T42" s="41">
        <f t="shared" si="3"/>
        <v>-0.21697600471076</v>
      </c>
      <c r="U42" s="41" t="s">
        <v>13</v>
      </c>
      <c r="V42" s="44">
        <v>-0.0851927664452936</v>
      </c>
      <c r="W42" s="44">
        <v>0.563636363636364</v>
      </c>
      <c r="X42" s="41">
        <f t="shared" si="4"/>
        <v>-0.0480177410873473</v>
      </c>
      <c r="Y42" s="39" t="s">
        <v>13</v>
      </c>
      <c r="Z42" s="39">
        <v>-0.262299484273556</v>
      </c>
      <c r="AA42" s="39">
        <v>0.563636363636364</v>
      </c>
      <c r="AB42" s="39">
        <f>Z42*AA42</f>
        <v>-0.147841527499641</v>
      </c>
      <c r="AC42" s="36">
        <v>0.801889892166215</v>
      </c>
      <c r="AD42" s="39">
        <v>0.0889953550990954</v>
      </c>
      <c r="AE42" s="36">
        <v>-0.0611025974357608</v>
      </c>
      <c r="AF42" s="36">
        <v>-0.150612487422916</v>
      </c>
      <c r="AG42" s="39">
        <v>-0.186668199493789</v>
      </c>
      <c r="AH42" s="39">
        <v>-0.147841527499641</v>
      </c>
      <c r="AI42" s="43">
        <v>0.733333333333333</v>
      </c>
      <c r="AJ42" s="39">
        <f>AI42-AC42-AD42-AE42-AF42-AG42-AH42</f>
        <v>0.388672897920129</v>
      </c>
    </row>
    <row r="43" spans="1:36">
      <c r="A43" s="37" t="s">
        <v>28</v>
      </c>
      <c r="B43" s="41"/>
      <c r="C43" s="40" t="s">
        <v>72</v>
      </c>
      <c r="D43" s="38" t="s">
        <v>15</v>
      </c>
      <c r="E43" s="38" t="s">
        <v>9</v>
      </c>
      <c r="F43" s="44">
        <v>-0.0784151536079403</v>
      </c>
      <c r="G43" s="43">
        <v>-0.177305898832846</v>
      </c>
      <c r="H43" s="38">
        <f t="shared" si="0"/>
        <v>0.0139034692925715</v>
      </c>
      <c r="I43" s="38" t="s">
        <v>10</v>
      </c>
      <c r="J43" s="44">
        <v>-0.0378979839228047</v>
      </c>
      <c r="K43" s="44">
        <v>8.51939393939394</v>
      </c>
      <c r="L43" s="41">
        <f t="shared" si="1"/>
        <v>-0.322867854547191</v>
      </c>
      <c r="M43" s="36" t="s">
        <v>11</v>
      </c>
      <c r="N43" s="44">
        <v>-10.0070545599615</v>
      </c>
      <c r="O43" s="44">
        <v>0.0282558139534838</v>
      </c>
      <c r="P43" s="38">
        <f t="shared" si="2"/>
        <v>-0.282757471868634</v>
      </c>
      <c r="Q43" s="41" t="s">
        <v>12</v>
      </c>
      <c r="R43" s="44">
        <v>-10.3635244875193</v>
      </c>
      <c r="S43" s="44">
        <v>-0.0771529245947853</v>
      </c>
      <c r="T43" s="41">
        <f t="shared" si="3"/>
        <v>0.799576223321787</v>
      </c>
      <c r="U43" s="41" t="s">
        <v>13</v>
      </c>
      <c r="V43" s="44">
        <v>0.417550408587284</v>
      </c>
      <c r="W43" s="44">
        <v>0.563636363636364</v>
      </c>
      <c r="X43" s="41">
        <f t="shared" si="4"/>
        <v>0.235346593931015</v>
      </c>
      <c r="Y43" s="39" t="s">
        <v>13</v>
      </c>
      <c r="Z43" s="39">
        <v>0.403981889143523</v>
      </c>
      <c r="AA43" s="39">
        <v>0.563636363636364</v>
      </c>
      <c r="AB43" s="39">
        <f>Z43*AA43</f>
        <v>0.227698882971804</v>
      </c>
      <c r="AC43" s="36">
        <v>-0.538035882733458</v>
      </c>
      <c r="AD43" s="39">
        <v>-0.154410014532841</v>
      </c>
      <c r="AE43" s="36">
        <v>-0.203901260842238</v>
      </c>
      <c r="AF43" s="36">
        <v>0.168148615001725</v>
      </c>
      <c r="AG43" s="39">
        <v>0.692716185168883</v>
      </c>
      <c r="AH43" s="39">
        <v>0.227698882971804</v>
      </c>
      <c r="AI43" s="43">
        <v>0.733333333333333</v>
      </c>
      <c r="AJ43" s="39">
        <f>AI43-AC43-AD43-AE43-AF43-AG43-AH43</f>
        <v>0.541116808299458</v>
      </c>
    </row>
    <row r="44" spans="1:36">
      <c r="A44" s="37" t="s">
        <v>29</v>
      </c>
      <c r="B44" s="41"/>
      <c r="C44" s="40" t="s">
        <v>72</v>
      </c>
      <c r="D44" s="38" t="s">
        <v>8</v>
      </c>
      <c r="E44" s="38" t="s">
        <v>9</v>
      </c>
      <c r="F44" s="46">
        <v>0.00108759074874539</v>
      </c>
      <c r="G44" s="43">
        <v>1.3299486418947</v>
      </c>
      <c r="H44" s="38">
        <f t="shared" si="0"/>
        <v>0.00144643983923117</v>
      </c>
      <c r="I44" s="38" t="s">
        <v>10</v>
      </c>
      <c r="J44" s="46">
        <v>-0.0739689424351542</v>
      </c>
      <c r="K44" s="44">
        <v>5.05393939393939</v>
      </c>
      <c r="L44" s="41">
        <f t="shared" si="1"/>
        <v>-0.373834552101061</v>
      </c>
      <c r="M44" s="36" t="s">
        <v>11</v>
      </c>
      <c r="N44" s="46">
        <v>-11.191439888833</v>
      </c>
      <c r="O44" s="44">
        <v>-0.023622895622897</v>
      </c>
      <c r="P44" s="38">
        <f t="shared" si="2"/>
        <v>0.264374216363828</v>
      </c>
      <c r="Q44" s="41" t="s">
        <v>12</v>
      </c>
      <c r="R44" s="46">
        <v>-5.01165603071665</v>
      </c>
      <c r="S44" s="44">
        <v>-0.197447811447812</v>
      </c>
      <c r="T44" s="41">
        <f t="shared" si="3"/>
        <v>0.989540514994231</v>
      </c>
      <c r="U44" s="41" t="s">
        <v>13</v>
      </c>
      <c r="V44" s="46">
        <v>0.178771508057875</v>
      </c>
      <c r="W44" s="44">
        <v>1.34545454545455</v>
      </c>
      <c r="X44" s="41">
        <f t="shared" si="4"/>
        <v>0.240528938114233</v>
      </c>
      <c r="Y44" s="39" t="s">
        <v>13</v>
      </c>
      <c r="Z44" s="39">
        <v>1.14193352441647</v>
      </c>
      <c r="AA44" s="39">
        <v>1.34545454545455</v>
      </c>
      <c r="AB44" s="39">
        <f>Z44*AA44</f>
        <v>1.53641965103307</v>
      </c>
      <c r="AC44" s="36">
        <v>-0.110868585954511</v>
      </c>
      <c r="AD44" s="39">
        <v>0.0178503114063345</v>
      </c>
      <c r="AE44" s="36">
        <v>-0.271621710930239</v>
      </c>
      <c r="AF44" s="36">
        <v>0.410399712570262</v>
      </c>
      <c r="AG44" s="39">
        <v>-0.864455721632899</v>
      </c>
      <c r="AH44" s="39">
        <v>1.53641965103307</v>
      </c>
      <c r="AI44" s="43">
        <v>0.175757575757576</v>
      </c>
      <c r="AJ44" s="39">
        <f>AI44-AC44-AD44-AE44-AF44-AG44-AH44</f>
        <v>-0.541966080734442</v>
      </c>
    </row>
    <row r="45" spans="1:36">
      <c r="A45" s="37" t="s">
        <v>29</v>
      </c>
      <c r="B45" s="41"/>
      <c r="C45" s="40" t="s">
        <v>72</v>
      </c>
      <c r="D45" s="38" t="s">
        <v>14</v>
      </c>
      <c r="E45" s="38" t="s">
        <v>9</v>
      </c>
      <c r="F45" s="46">
        <v>-0.0268351537255194</v>
      </c>
      <c r="G45" s="43">
        <v>-1.68456043956041</v>
      </c>
      <c r="H45" s="38">
        <f t="shared" si="0"/>
        <v>0.0452054383555321</v>
      </c>
      <c r="I45" s="38" t="s">
        <v>10</v>
      </c>
      <c r="J45" s="46">
        <v>0.0261537970074456</v>
      </c>
      <c r="K45" s="44">
        <v>3.84848484848485</v>
      </c>
      <c r="L45" s="41">
        <f t="shared" si="1"/>
        <v>0.100652491513503</v>
      </c>
      <c r="M45" s="36" t="s">
        <v>11</v>
      </c>
      <c r="N45" s="46">
        <v>1.11615868812177</v>
      </c>
      <c r="O45" s="44">
        <v>0.0642895622895668</v>
      </c>
      <c r="P45" s="38">
        <f t="shared" si="2"/>
        <v>0.0717573535050457</v>
      </c>
      <c r="Q45" s="41" t="s">
        <v>12</v>
      </c>
      <c r="R45" s="46">
        <v>-3.44353788679892</v>
      </c>
      <c r="S45" s="44">
        <v>0.0328888888888883</v>
      </c>
      <c r="T45" s="41">
        <f t="shared" si="3"/>
        <v>-0.113254134943607</v>
      </c>
      <c r="U45" s="41" t="s">
        <v>13</v>
      </c>
      <c r="V45" s="46">
        <v>0.178771508057875</v>
      </c>
      <c r="W45" s="44">
        <v>1.34545454545455</v>
      </c>
      <c r="X45" s="41">
        <f t="shared" si="4"/>
        <v>0.240528938114233</v>
      </c>
      <c r="Y45" s="39" t="s">
        <v>13</v>
      </c>
      <c r="Z45" s="39">
        <v>1.60705750598618</v>
      </c>
      <c r="AA45" s="39">
        <v>1.34545454545455</v>
      </c>
      <c r="AB45" s="39">
        <f>Z45*AA45</f>
        <v>2.16222282623596</v>
      </c>
      <c r="AC45" s="36">
        <v>-0.253266227340592</v>
      </c>
      <c r="AD45" s="39">
        <v>-0.79213261208401</v>
      </c>
      <c r="AE45" s="36">
        <v>-0.326736890129981</v>
      </c>
      <c r="AF45" s="36">
        <v>0.300194855737229</v>
      </c>
      <c r="AG45" s="39">
        <v>-0.283416018473304</v>
      </c>
      <c r="AH45" s="39">
        <v>2.16222282623595</v>
      </c>
      <c r="AI45" s="43">
        <v>0.175757575757576</v>
      </c>
      <c r="AJ45" s="39">
        <f>AI45-AC45-AD45-AE45-AF45-AG45-AH45</f>
        <v>-0.631108358187716</v>
      </c>
    </row>
    <row r="46" spans="1:36">
      <c r="A46" s="37" t="s">
        <v>29</v>
      </c>
      <c r="B46" s="41"/>
      <c r="C46" s="40" t="s">
        <v>72</v>
      </c>
      <c r="D46" s="38" t="s">
        <v>15</v>
      </c>
      <c r="E46" s="38" t="s">
        <v>9</v>
      </c>
      <c r="F46" s="44">
        <v>-0.106899942575736</v>
      </c>
      <c r="G46" s="43">
        <v>-0.177305898832846</v>
      </c>
      <c r="H46" s="38">
        <f t="shared" si="0"/>
        <v>0.0189539904035705</v>
      </c>
      <c r="I46" s="38" t="s">
        <v>10</v>
      </c>
      <c r="J46" s="44">
        <v>-0.0255092071409443</v>
      </c>
      <c r="K46" s="44">
        <v>8.78</v>
      </c>
      <c r="L46" s="41">
        <f t="shared" si="1"/>
        <v>-0.223970838697491</v>
      </c>
      <c r="M46" s="36" t="s">
        <v>11</v>
      </c>
      <c r="N46" s="44">
        <v>-13.6914084647814</v>
      </c>
      <c r="O46" s="44">
        <v>0.0212662942271866</v>
      </c>
      <c r="P46" s="38">
        <f t="shared" si="2"/>
        <v>-0.291165520796634</v>
      </c>
      <c r="Q46" s="41" t="s">
        <v>12</v>
      </c>
      <c r="R46" s="44">
        <v>5.73313289619466</v>
      </c>
      <c r="S46" s="44">
        <v>-0.0829084137464026</v>
      </c>
      <c r="T46" s="41">
        <f t="shared" si="3"/>
        <v>-0.475324954220818</v>
      </c>
      <c r="U46" s="41" t="s">
        <v>13</v>
      </c>
      <c r="V46" s="44">
        <v>0.692486660073505</v>
      </c>
      <c r="W46" s="44">
        <v>1.34545454545455</v>
      </c>
      <c r="X46" s="41">
        <f t="shared" si="4"/>
        <v>0.931709324462537</v>
      </c>
      <c r="Y46" s="39" t="s">
        <v>13</v>
      </c>
      <c r="Z46" s="39">
        <v>1.23539970445645</v>
      </c>
      <c r="AA46" s="39">
        <v>1.34545454545455</v>
      </c>
      <c r="AB46" s="39">
        <f>Z46*AA46</f>
        <v>1.66217414781414</v>
      </c>
      <c r="AC46" s="36">
        <v>-0.437288589386215</v>
      </c>
      <c r="AD46" s="39">
        <v>-0.15818224478028</v>
      </c>
      <c r="AE46" s="36">
        <v>-0.385807908962274</v>
      </c>
      <c r="AF46" s="36">
        <v>0.274434926444311</v>
      </c>
      <c r="AG46" s="39">
        <v>-0.289276667023241</v>
      </c>
      <c r="AH46" s="39">
        <v>1.66217414781414</v>
      </c>
      <c r="AI46" s="43">
        <v>0.175757575757576</v>
      </c>
      <c r="AJ46" s="39">
        <f>AI46-AC46-AD46-AE46-AF46-AG46-AH46</f>
        <v>-0.490296088348865</v>
      </c>
    </row>
    <row r="47" spans="1:36">
      <c r="A47" s="37" t="s">
        <v>30</v>
      </c>
      <c r="B47" s="41"/>
      <c r="C47" s="40" t="s">
        <v>72</v>
      </c>
      <c r="D47" s="38" t="s">
        <v>8</v>
      </c>
      <c r="E47" s="38" t="s">
        <v>9</v>
      </c>
      <c r="F47" s="44">
        <v>0.18800518017763</v>
      </c>
      <c r="G47" s="43">
        <v>1.3299486418947</v>
      </c>
      <c r="H47" s="38">
        <f t="shared" si="0"/>
        <v>0.250037234046407</v>
      </c>
      <c r="I47" s="38" t="s">
        <v>10</v>
      </c>
      <c r="J47" s="44">
        <v>0.0727290666569503</v>
      </c>
      <c r="K47" s="44">
        <v>4.9430303030303</v>
      </c>
      <c r="L47" s="41">
        <f t="shared" si="1"/>
        <v>0.359501980396416</v>
      </c>
      <c r="M47" s="36" t="s">
        <v>11</v>
      </c>
      <c r="N47" s="44">
        <v>-15.7946858664255</v>
      </c>
      <c r="O47" s="44">
        <v>-0.0170639730639732</v>
      </c>
      <c r="P47" s="38">
        <f t="shared" si="2"/>
        <v>0.269520094178603</v>
      </c>
      <c r="Q47" s="41" t="s">
        <v>12</v>
      </c>
      <c r="R47" s="44">
        <v>-5.80080635827287</v>
      </c>
      <c r="S47" s="44">
        <v>-0.201515151515151</v>
      </c>
      <c r="T47" s="41">
        <f t="shared" si="3"/>
        <v>1.16895037219741</v>
      </c>
      <c r="U47" s="41" t="s">
        <v>13</v>
      </c>
      <c r="V47" s="44">
        <v>-0.569229488536498</v>
      </c>
      <c r="W47" s="44">
        <v>0.284848484848485</v>
      </c>
      <c r="X47" s="41">
        <f t="shared" si="4"/>
        <v>-0.1621441573407</v>
      </c>
      <c r="Y47" s="39" t="s">
        <v>13</v>
      </c>
      <c r="Z47" s="39">
        <v>-0.29045106222855</v>
      </c>
      <c r="AA47" s="39">
        <v>0.284848484848485</v>
      </c>
      <c r="AB47" s="39">
        <f>Z47*AA47</f>
        <v>-0.0827345449984355</v>
      </c>
      <c r="AC47" s="36">
        <v>0.0202078608444666</v>
      </c>
      <c r="AD47" s="39">
        <v>-0.00802499273531045</v>
      </c>
      <c r="AE47" s="36">
        <v>-0.133809376891334</v>
      </c>
      <c r="AF47" s="36">
        <v>-0.416985010855851</v>
      </c>
      <c r="AG47" s="39">
        <v>0.716606350509368</v>
      </c>
      <c r="AH47" s="39">
        <v>-0.0827345449984354</v>
      </c>
      <c r="AI47" s="43">
        <v>0.515151515151515</v>
      </c>
      <c r="AJ47" s="39">
        <f>AI47-AC47-AD47-AE47-AF47-AG47-AH47</f>
        <v>0.419891229278611</v>
      </c>
    </row>
    <row r="48" spans="1:36">
      <c r="A48" s="37" t="s">
        <v>30</v>
      </c>
      <c r="B48" s="41"/>
      <c r="C48" s="40" t="s">
        <v>72</v>
      </c>
      <c r="D48" s="38" t="s">
        <v>14</v>
      </c>
      <c r="E48" s="38" t="s">
        <v>9</v>
      </c>
      <c r="F48" s="44">
        <v>-0.0710772712620042</v>
      </c>
      <c r="G48" s="43">
        <v>-1.68456043956041</v>
      </c>
      <c r="H48" s="38">
        <f t="shared" si="0"/>
        <v>0.119733959319876</v>
      </c>
      <c r="I48" s="38" t="s">
        <v>10</v>
      </c>
      <c r="J48" s="44">
        <v>0.0257554385268986</v>
      </c>
      <c r="K48" s="44">
        <v>4.00606060606061</v>
      </c>
      <c r="L48" s="41">
        <f t="shared" si="1"/>
        <v>0.103177847674424</v>
      </c>
      <c r="M48" s="36" t="s">
        <v>11</v>
      </c>
      <c r="N48" s="44">
        <v>-2.86395761298794</v>
      </c>
      <c r="O48" s="44">
        <v>0.0542424242424242</v>
      </c>
      <c r="P48" s="38">
        <f t="shared" si="2"/>
        <v>-0.155348003856012</v>
      </c>
      <c r="Q48" s="41" t="s">
        <v>12</v>
      </c>
      <c r="R48" s="44">
        <v>7.99274521522808</v>
      </c>
      <c r="S48" s="44">
        <v>0.0206801346801345</v>
      </c>
      <c r="T48" s="41">
        <f t="shared" si="3"/>
        <v>0.165291047514917</v>
      </c>
      <c r="U48" s="41" t="s">
        <v>13</v>
      </c>
      <c r="V48" s="44">
        <v>-0.569229488536498</v>
      </c>
      <c r="W48" s="44">
        <v>0.284848484848485</v>
      </c>
      <c r="X48" s="41">
        <f t="shared" si="4"/>
        <v>-0.1621441573407</v>
      </c>
      <c r="Y48" s="39" t="s">
        <v>13</v>
      </c>
      <c r="Z48" s="39">
        <v>0.0140739994788775</v>
      </c>
      <c r="AA48" s="39">
        <v>0.284848484848485</v>
      </c>
      <c r="AB48" s="39">
        <f>Z48*AA48</f>
        <v>0.00400895742731662</v>
      </c>
      <c r="AC48" s="36">
        <v>0.385948890340028</v>
      </c>
      <c r="AD48" s="39">
        <v>0.374405355967662</v>
      </c>
      <c r="AE48" s="36">
        <v>-0.0525810877897215</v>
      </c>
      <c r="AF48" s="36">
        <v>0.0946412100357071</v>
      </c>
      <c r="AG48" s="39">
        <v>-0.366787516036562</v>
      </c>
      <c r="AH48" s="39">
        <v>0.00400895742731663</v>
      </c>
      <c r="AI48" s="43">
        <v>0.515151515151515</v>
      </c>
      <c r="AJ48" s="39">
        <f>AI48-AC48-AD48-AE48-AF48-AG48-AH48</f>
        <v>0.0755157052070848</v>
      </c>
    </row>
    <row r="49" spans="1:36">
      <c r="A49" s="37" t="s">
        <v>30</v>
      </c>
      <c r="B49" s="41"/>
      <c r="C49" s="40" t="s">
        <v>72</v>
      </c>
      <c r="D49" s="38" t="s">
        <v>15</v>
      </c>
      <c r="E49" s="38" t="s">
        <v>9</v>
      </c>
      <c r="F49" s="44">
        <v>-0.0395987316366235</v>
      </c>
      <c r="G49" s="43">
        <v>-0.177305898832846</v>
      </c>
      <c r="H49" s="38">
        <f t="shared" si="0"/>
        <v>0.00702108870547218</v>
      </c>
      <c r="I49" s="38" t="s">
        <v>10</v>
      </c>
      <c r="J49" s="44">
        <v>0.116775144099515</v>
      </c>
      <c r="K49" s="44">
        <v>8.8369696969697</v>
      </c>
      <c r="L49" s="41">
        <f t="shared" si="1"/>
        <v>1.03193840976668</v>
      </c>
      <c r="M49" s="36" t="s">
        <v>11</v>
      </c>
      <c r="N49" s="44">
        <v>-1.02478684308205</v>
      </c>
      <c r="O49" s="44">
        <v>0.0209107838158079</v>
      </c>
      <c r="P49" s="38">
        <f t="shared" si="2"/>
        <v>-0.021429096132973</v>
      </c>
      <c r="Q49" s="41" t="s">
        <v>12</v>
      </c>
      <c r="R49" s="44">
        <v>14.519410885561</v>
      </c>
      <c r="S49" s="44">
        <v>-0.0872659556458434</v>
      </c>
      <c r="T49" s="41">
        <f t="shared" si="3"/>
        <v>-1.26705026634314</v>
      </c>
      <c r="U49" s="41" t="s">
        <v>13</v>
      </c>
      <c r="V49" s="44">
        <v>0.18762162906356</v>
      </c>
      <c r="W49" s="44">
        <v>0.284848484848485</v>
      </c>
      <c r="X49" s="41">
        <f t="shared" si="4"/>
        <v>0.0534437367635595</v>
      </c>
      <c r="Y49" s="39" t="s">
        <v>13</v>
      </c>
      <c r="Z49" s="39">
        <v>0.477089384319242</v>
      </c>
      <c r="AA49" s="39">
        <v>0.284848484848485</v>
      </c>
      <c r="AB49" s="39">
        <f>Z49*AA49</f>
        <v>0.135898188260633</v>
      </c>
      <c r="AC49" s="36">
        <v>-0.115169657380171</v>
      </c>
      <c r="AD49" s="39">
        <v>1.30961252724903</v>
      </c>
      <c r="AE49" s="36">
        <v>0.00845872970752604</v>
      </c>
      <c r="AF49" s="36">
        <v>0.557834441500696</v>
      </c>
      <c r="AG49" s="39">
        <v>-1.78590903700812</v>
      </c>
      <c r="AH49" s="39">
        <v>0.135898188260633</v>
      </c>
      <c r="AI49" s="43">
        <v>0.515151515151515</v>
      </c>
      <c r="AJ49" s="39">
        <f>AI49-AC49-AD49-AE49-AF49-AG49-AH49</f>
        <v>0.404426322821921</v>
      </c>
    </row>
    <row r="50" spans="1:36">
      <c r="A50" s="37" t="s">
        <v>31</v>
      </c>
      <c r="B50" s="41"/>
      <c r="C50" s="40" t="s">
        <v>72</v>
      </c>
      <c r="D50" s="38" t="s">
        <v>8</v>
      </c>
      <c r="E50" s="38" t="s">
        <v>9</v>
      </c>
      <c r="F50" s="44">
        <v>-0.275851182694724</v>
      </c>
      <c r="G50" s="43">
        <v>1.3299486418947</v>
      </c>
      <c r="H50" s="38">
        <f t="shared" si="0"/>
        <v>-0.366867905789895</v>
      </c>
      <c r="I50" s="38" t="s">
        <v>10</v>
      </c>
      <c r="J50" s="44">
        <v>-0.0162543088242767</v>
      </c>
      <c r="K50" s="44">
        <v>4.70121212121212</v>
      </c>
      <c r="L50" s="41">
        <f t="shared" si="1"/>
        <v>-0.0764149536666148</v>
      </c>
      <c r="M50" s="36" t="s">
        <v>11</v>
      </c>
      <c r="N50" s="44">
        <v>2.59843760120175</v>
      </c>
      <c r="O50" s="44">
        <v>-0.0174559548978225</v>
      </c>
      <c r="P50" s="38">
        <f t="shared" si="2"/>
        <v>-0.0453582095713838</v>
      </c>
      <c r="Q50" s="41" t="s">
        <v>12</v>
      </c>
      <c r="R50" s="44">
        <v>7.13423798295588</v>
      </c>
      <c r="S50" s="44">
        <v>-0.190281888653982</v>
      </c>
      <c r="T50" s="41">
        <f t="shared" si="3"/>
        <v>-1.35751627750382</v>
      </c>
      <c r="U50" s="41" t="s">
        <v>13</v>
      </c>
      <c r="V50" s="44">
        <v>0.466563795304794</v>
      </c>
      <c r="W50" s="44">
        <v>1.00606060606061</v>
      </c>
      <c r="X50" s="41">
        <f t="shared" si="4"/>
        <v>0.469391454670279</v>
      </c>
      <c r="Y50" s="39" t="s">
        <v>13</v>
      </c>
      <c r="Z50" s="39">
        <v>0.0371285819529063</v>
      </c>
      <c r="AA50" s="39">
        <v>1.00606060606061</v>
      </c>
      <c r="AB50" s="39">
        <f>Z50*AA50</f>
        <v>0.0373536036617119</v>
      </c>
      <c r="AC50" s="36">
        <v>-0.183205748089982</v>
      </c>
      <c r="AD50" s="39">
        <v>-0.181237894253226</v>
      </c>
      <c r="AE50" s="36">
        <v>-0.178612384596986</v>
      </c>
      <c r="AF50" s="36">
        <v>0.21785679403592</v>
      </c>
      <c r="AG50" s="39">
        <v>-0.62721474686749</v>
      </c>
      <c r="AH50" s="39">
        <v>0.0373536036617118</v>
      </c>
      <c r="AI50" s="43">
        <v>-1.18181818181818</v>
      </c>
      <c r="AJ50" s="39">
        <f>AI50-AC50-AD50-AE50-AF50-AG50-AH50</f>
        <v>-0.266757805708128</v>
      </c>
    </row>
    <row r="51" spans="1:36">
      <c r="A51" s="37" t="s">
        <v>31</v>
      </c>
      <c r="B51" s="41"/>
      <c r="C51" s="40" t="s">
        <v>72</v>
      </c>
      <c r="D51" s="38" t="s">
        <v>14</v>
      </c>
      <c r="E51" s="38" t="s">
        <v>9</v>
      </c>
      <c r="F51" s="44">
        <v>-0.0498393715221769</v>
      </c>
      <c r="G51" s="43">
        <v>-1.68456043956041</v>
      </c>
      <c r="H51" s="38">
        <f t="shared" si="0"/>
        <v>0.0839574335988129</v>
      </c>
      <c r="I51" s="38" t="s">
        <v>10</v>
      </c>
      <c r="J51" s="44">
        <v>-0.142012272512865</v>
      </c>
      <c r="K51" s="44">
        <v>4.32242424242424</v>
      </c>
      <c r="L51" s="41">
        <f t="shared" si="1"/>
        <v>-0.613837289431365</v>
      </c>
      <c r="M51" s="36" t="s">
        <v>11</v>
      </c>
      <c r="N51" s="44">
        <v>15.3938120740735</v>
      </c>
      <c r="O51" s="44">
        <v>0.0446673632880501</v>
      </c>
      <c r="P51" s="38">
        <f t="shared" si="2"/>
        <v>0.687600996300613</v>
      </c>
      <c r="Q51" s="41" t="s">
        <v>12</v>
      </c>
      <c r="R51" s="44">
        <v>-19.2686841834433</v>
      </c>
      <c r="S51" s="44">
        <v>0.00459770114942506</v>
      </c>
      <c r="T51" s="41">
        <f t="shared" si="3"/>
        <v>-0.0885916514181257</v>
      </c>
      <c r="U51" s="41" t="s">
        <v>13</v>
      </c>
      <c r="V51" s="44">
        <v>0.466563795304794</v>
      </c>
      <c r="W51" s="44">
        <v>1.00606060606061</v>
      </c>
      <c r="X51" s="41">
        <f t="shared" si="4"/>
        <v>0.469391454670279</v>
      </c>
      <c r="Y51" s="39" t="s">
        <v>13</v>
      </c>
      <c r="Z51" s="39">
        <v>0.0577188548893168</v>
      </c>
      <c r="AA51" s="39">
        <v>1.00606060606061</v>
      </c>
      <c r="AB51" s="39">
        <f>Z51*AA51</f>
        <v>0.0580686661310705</v>
      </c>
      <c r="AC51" s="36">
        <v>-0.776586544256044</v>
      </c>
      <c r="AD51" s="39">
        <v>-0.850859080472394</v>
      </c>
      <c r="AE51" s="36">
        <v>0.0790222225334307</v>
      </c>
      <c r="AF51" s="36">
        <v>0.0481477646315166</v>
      </c>
      <c r="AG51" s="39">
        <v>0.0593182629373545</v>
      </c>
      <c r="AH51" s="39">
        <v>0.0580686661310702</v>
      </c>
      <c r="AI51" s="43">
        <v>-1.18181818181818</v>
      </c>
      <c r="AJ51" s="39">
        <f>AI51-AC51-AD51-AE51-AF51-AG51-AH51</f>
        <v>0.201070526676886</v>
      </c>
    </row>
    <row r="52" spans="1:36">
      <c r="A52" s="37" t="s">
        <v>31</v>
      </c>
      <c r="B52" s="41"/>
      <c r="C52" s="40" t="s">
        <v>72</v>
      </c>
      <c r="D52" s="38" t="s">
        <v>15</v>
      </c>
      <c r="E52" s="38" t="s">
        <v>9</v>
      </c>
      <c r="F52" s="44">
        <v>-0.330744371794274</v>
      </c>
      <c r="G52" s="43">
        <v>-0.177305898832846</v>
      </c>
      <c r="H52" s="38">
        <f t="shared" si="0"/>
        <v>0.0586429281248888</v>
      </c>
      <c r="I52" s="38" t="s">
        <v>10</v>
      </c>
      <c r="J52" s="44">
        <v>-0.0636687753733325</v>
      </c>
      <c r="K52" s="44">
        <v>9.49393939393939</v>
      </c>
      <c r="L52" s="41">
        <f t="shared" si="1"/>
        <v>-0.60446749468076</v>
      </c>
      <c r="M52" s="36" t="s">
        <v>11</v>
      </c>
      <c r="N52" s="44">
        <v>7.3801978589304</v>
      </c>
      <c r="O52" s="44">
        <v>0.0148837209302316</v>
      </c>
      <c r="P52" s="38">
        <f t="shared" si="2"/>
        <v>0.109844805342213</v>
      </c>
      <c r="Q52" s="41" t="s">
        <v>12</v>
      </c>
      <c r="R52" s="44">
        <v>2.17703196731508</v>
      </c>
      <c r="S52" s="44">
        <v>-0.089041578576462</v>
      </c>
      <c r="T52" s="41">
        <f t="shared" si="3"/>
        <v>-0.193846362981155</v>
      </c>
      <c r="U52" s="41" t="s">
        <v>13</v>
      </c>
      <c r="V52" s="44">
        <v>0.140110539470779</v>
      </c>
      <c r="W52" s="44">
        <v>1.00606060606061</v>
      </c>
      <c r="X52" s="41">
        <f t="shared" si="4"/>
        <v>0.140959694255451</v>
      </c>
      <c r="Y52" s="39" t="s">
        <v>13</v>
      </c>
      <c r="Z52" s="39">
        <v>0.0897582625640364</v>
      </c>
      <c r="AA52" s="39">
        <v>1.00606060606061</v>
      </c>
      <c r="AB52" s="39">
        <f>Z52*AA52</f>
        <v>0.0903022520341218</v>
      </c>
      <c r="AC52" s="36">
        <v>-0.630628675675948</v>
      </c>
      <c r="AD52" s="39">
        <v>-1.89596575183398</v>
      </c>
      <c r="AE52" s="36">
        <v>0.215382041990772</v>
      </c>
      <c r="AF52" s="36">
        <v>0.104667724401419</v>
      </c>
      <c r="AG52" s="39">
        <v>1.07803289690606</v>
      </c>
      <c r="AH52" s="39">
        <v>0.0903022520341215</v>
      </c>
      <c r="AI52" s="43">
        <v>-1.18181818181818</v>
      </c>
      <c r="AJ52" s="39">
        <f>AI52-AC52-AD52-AE52-AF52-AG52-AH52</f>
        <v>-0.143608669640624</v>
      </c>
    </row>
    <row r="53" spans="1:36">
      <c r="A53" s="37" t="s">
        <v>32</v>
      </c>
      <c r="B53" s="41"/>
      <c r="C53" s="40" t="s">
        <v>72</v>
      </c>
      <c r="D53" s="38" t="s">
        <v>8</v>
      </c>
      <c r="E53" s="38" t="s">
        <v>9</v>
      </c>
      <c r="F53" s="44">
        <v>-0.134155879664443</v>
      </c>
      <c r="G53" s="43">
        <v>1.3299486418947</v>
      </c>
      <c r="H53" s="38">
        <f t="shared" si="0"/>
        <v>-0.178420429961915</v>
      </c>
      <c r="I53" s="38" t="s">
        <v>10</v>
      </c>
      <c r="J53" s="44">
        <v>-0.021391003375252</v>
      </c>
      <c r="K53" s="44">
        <v>4.39454545454546</v>
      </c>
      <c r="L53" s="41">
        <f t="shared" si="1"/>
        <v>-0.0940037366508803</v>
      </c>
      <c r="M53" s="36" t="s">
        <v>11</v>
      </c>
      <c r="N53" s="44">
        <v>4.72986197032097</v>
      </c>
      <c r="O53" s="44">
        <v>0.00994227994228063</v>
      </c>
      <c r="P53" s="38">
        <f t="shared" si="2"/>
        <v>0.0470256117972781</v>
      </c>
      <c r="Q53" s="41" t="s">
        <v>12</v>
      </c>
      <c r="R53" s="44">
        <v>3.9001751897151</v>
      </c>
      <c r="S53" s="44">
        <v>-0.182943722943723</v>
      </c>
      <c r="T53" s="41">
        <f t="shared" si="3"/>
        <v>-0.713512569339221</v>
      </c>
      <c r="U53" s="41" t="s">
        <v>13</v>
      </c>
      <c r="V53" s="44">
        <v>0.364273397074185</v>
      </c>
      <c r="W53" s="44">
        <v>0.848484848484849</v>
      </c>
      <c r="X53" s="41">
        <f t="shared" si="4"/>
        <v>0.309080458123551</v>
      </c>
      <c r="Y53" s="39" t="s">
        <v>13</v>
      </c>
      <c r="Z53" s="39">
        <v>0.684522094584639</v>
      </c>
      <c r="AA53" s="39">
        <v>0.848484848484849</v>
      </c>
      <c r="AB53" s="39">
        <f>Z53*AA53</f>
        <v>0.580806625708179</v>
      </c>
      <c r="AC53" s="36">
        <v>-0.0193586332933712</v>
      </c>
      <c r="AD53" s="39">
        <v>-0.00104721213338889</v>
      </c>
      <c r="AE53" s="36">
        <v>0.00184590074725876</v>
      </c>
      <c r="AF53" s="36">
        <v>0.245977084346175</v>
      </c>
      <c r="AG53" s="39">
        <v>-0.503276998135094</v>
      </c>
      <c r="AH53" s="39">
        <v>0.580806625708178</v>
      </c>
      <c r="AI53" s="43">
        <v>-0.206060606060606</v>
      </c>
      <c r="AJ53" s="39">
        <f>AI53-AC53-AD53-AE53-AF53-AG53-AH53</f>
        <v>-0.511007373300364</v>
      </c>
    </row>
    <row r="54" spans="1:36">
      <c r="A54" s="37" t="s">
        <v>32</v>
      </c>
      <c r="B54" s="41"/>
      <c r="C54" s="40" t="s">
        <v>72</v>
      </c>
      <c r="D54" s="38" t="s">
        <v>14</v>
      </c>
      <c r="E54" s="38" t="s">
        <v>9</v>
      </c>
      <c r="F54" s="44">
        <v>0.00578914550052141</v>
      </c>
      <c r="G54" s="43">
        <v>-1.68456043956041</v>
      </c>
      <c r="H54" s="38">
        <f t="shared" si="0"/>
        <v>-0.00975216548903752</v>
      </c>
      <c r="I54" s="38" t="s">
        <v>10</v>
      </c>
      <c r="J54" s="44">
        <v>-0.0556242891832254</v>
      </c>
      <c r="K54" s="44">
        <v>4.92060606060606</v>
      </c>
      <c r="L54" s="41">
        <f t="shared" si="1"/>
        <v>-0.273705214471883</v>
      </c>
      <c r="M54" s="36" t="s">
        <v>11</v>
      </c>
      <c r="N54" s="44">
        <v>3.83737432995496</v>
      </c>
      <c r="O54" s="44">
        <v>0.0144099821746873</v>
      </c>
      <c r="P54" s="38">
        <f t="shared" si="2"/>
        <v>0.0552964956922536</v>
      </c>
      <c r="Q54" s="41" t="s">
        <v>12</v>
      </c>
      <c r="R54" s="44">
        <v>-8.45958762085833</v>
      </c>
      <c r="S54" s="44">
        <v>-0.0229376114081994</v>
      </c>
      <c r="T54" s="41">
        <f t="shared" si="3"/>
        <v>0.194042733520862</v>
      </c>
      <c r="U54" s="41" t="s">
        <v>13</v>
      </c>
      <c r="V54" s="44">
        <v>0.364273397074185</v>
      </c>
      <c r="W54" s="44">
        <v>0.848484848484849</v>
      </c>
      <c r="X54" s="41">
        <f t="shared" si="4"/>
        <v>0.309080458123551</v>
      </c>
      <c r="Y54" s="39" t="s">
        <v>13</v>
      </c>
      <c r="Z54" s="39">
        <v>0.454816365605615</v>
      </c>
      <c r="AA54" s="39">
        <v>0.848484848484849</v>
      </c>
      <c r="AB54" s="39">
        <f>Z54*AA54</f>
        <v>0.38590479505931</v>
      </c>
      <c r="AC54" s="36">
        <v>0.0138606096548312</v>
      </c>
      <c r="AD54" s="39">
        <v>-0.587780694481848</v>
      </c>
      <c r="AE54" s="36">
        <v>0.0480345078928212</v>
      </c>
      <c r="AF54" s="36">
        <v>-0.0840260944552809</v>
      </c>
      <c r="AG54" s="39">
        <v>0.257592377683515</v>
      </c>
      <c r="AH54" s="39">
        <v>0.385904795059309</v>
      </c>
      <c r="AI54" s="43">
        <v>-0.206060606060606</v>
      </c>
      <c r="AJ54" s="39">
        <f>AI54-AC54-AD54-AE54-AF54-AG54-AH54</f>
        <v>-0.239646107413954</v>
      </c>
    </row>
    <row r="55" spans="1:36">
      <c r="A55" s="37" t="s">
        <v>32</v>
      </c>
      <c r="B55" s="41"/>
      <c r="C55" s="40" t="s">
        <v>72</v>
      </c>
      <c r="D55" s="38" t="s">
        <v>15</v>
      </c>
      <c r="E55" s="38" t="s">
        <v>9</v>
      </c>
      <c r="F55" s="44">
        <v>0.0168655451141103</v>
      </c>
      <c r="G55" s="43">
        <v>-0.177305898832846</v>
      </c>
      <c r="H55" s="38">
        <f t="shared" si="0"/>
        <v>-0.00299036063576324</v>
      </c>
      <c r="I55" s="38" t="s">
        <v>10</v>
      </c>
      <c r="J55" s="44">
        <v>-0.0244064862647749</v>
      </c>
      <c r="K55" s="44">
        <v>9.21818181818182</v>
      </c>
      <c r="L55" s="41">
        <f t="shared" si="1"/>
        <v>-0.224983427931652</v>
      </c>
      <c r="M55" s="36" t="s">
        <v>11</v>
      </c>
      <c r="N55" s="44">
        <v>-0.670384520208507</v>
      </c>
      <c r="O55" s="44">
        <v>0.0128138528138484</v>
      </c>
      <c r="P55" s="38">
        <f t="shared" si="2"/>
        <v>-0.00859020857063419</v>
      </c>
      <c r="Q55" s="41" t="s">
        <v>12</v>
      </c>
      <c r="R55" s="44">
        <v>-3.41343539411838</v>
      </c>
      <c r="S55" s="44">
        <v>-0.100955988455988</v>
      </c>
      <c r="T55" s="41">
        <f t="shared" si="3"/>
        <v>0.344606744243876</v>
      </c>
      <c r="U55" s="41" t="s">
        <v>13</v>
      </c>
      <c r="V55" s="44">
        <v>0.062139221727851</v>
      </c>
      <c r="W55" s="44">
        <v>0.848484848484849</v>
      </c>
      <c r="X55" s="41">
        <f t="shared" si="4"/>
        <v>0.0527241881327221</v>
      </c>
      <c r="Y55" s="39" t="s">
        <v>13</v>
      </c>
      <c r="Z55" s="39">
        <v>0.201550425780997</v>
      </c>
      <c r="AA55" s="39">
        <v>0.848484848484849</v>
      </c>
      <c r="AB55" s="39">
        <f>Z55*AA55</f>
        <v>0.171012482480846</v>
      </c>
      <c r="AC55" s="36">
        <v>0.0893790120992506</v>
      </c>
      <c r="AD55" s="39">
        <v>-0.527554565125859</v>
      </c>
      <c r="AE55" s="36">
        <v>-0.0283031241646696</v>
      </c>
      <c r="AF55" s="36">
        <v>-0.194244053953456</v>
      </c>
      <c r="AG55" s="39">
        <v>0.684185698455123</v>
      </c>
      <c r="AH55" s="39">
        <v>0.171012482480846</v>
      </c>
      <c r="AI55" s="43">
        <v>-0.206060606060606</v>
      </c>
      <c r="AJ55" s="39">
        <f>AI55-AC55-AD55-AE55-AF55-AG55-AH55</f>
        <v>-0.400536055851841</v>
      </c>
    </row>
    <row r="56" spans="1:36">
      <c r="A56" s="37" t="s">
        <v>33</v>
      </c>
      <c r="B56" s="41"/>
      <c r="C56" s="40" t="s">
        <v>72</v>
      </c>
      <c r="D56" s="38" t="s">
        <v>8</v>
      </c>
      <c r="E56" s="38" t="s">
        <v>9</v>
      </c>
      <c r="F56" s="44">
        <v>0.177376569820459</v>
      </c>
      <c r="G56" s="43">
        <v>1.3299486418947</v>
      </c>
      <c r="H56" s="38">
        <f t="shared" si="0"/>
        <v>0.23590172813666</v>
      </c>
      <c r="I56" s="38" t="s">
        <v>10</v>
      </c>
      <c r="J56" s="44">
        <v>0.0222262025648822</v>
      </c>
      <c r="K56" s="44">
        <v>4.53575757575758</v>
      </c>
      <c r="L56" s="41">
        <f t="shared" si="1"/>
        <v>0.100812666663987</v>
      </c>
      <c r="M56" s="36" t="s">
        <v>11</v>
      </c>
      <c r="N56" s="44">
        <v>-26.6246178173938</v>
      </c>
      <c r="O56" s="44">
        <v>0.000786435786434419</v>
      </c>
      <c r="P56" s="38">
        <f t="shared" si="2"/>
        <v>-0.0209385522517379</v>
      </c>
      <c r="Q56" s="41" t="s">
        <v>12</v>
      </c>
      <c r="R56" s="44">
        <v>-3.01139688271289</v>
      </c>
      <c r="S56" s="44">
        <v>-0.19005772005772</v>
      </c>
      <c r="T56" s="41">
        <f t="shared" si="3"/>
        <v>0.572339225717337</v>
      </c>
      <c r="U56" s="41" t="s">
        <v>13</v>
      </c>
      <c r="V56" s="44">
        <v>0.171854722977936</v>
      </c>
      <c r="W56" s="44">
        <v>0.915151515151515</v>
      </c>
      <c r="X56" s="41">
        <f t="shared" si="4"/>
        <v>0.157273110119202</v>
      </c>
      <c r="Y56" s="39" t="s">
        <v>13</v>
      </c>
      <c r="Z56" s="39">
        <v>0.21017620573846</v>
      </c>
      <c r="AA56" s="39">
        <v>0.915151515151515</v>
      </c>
      <c r="AB56" s="39">
        <f>Z56*AA56</f>
        <v>0.192343073130348</v>
      </c>
      <c r="AC56" s="36">
        <v>-0.0688558958610702</v>
      </c>
      <c r="AD56" s="39">
        <v>-0.0556243888067472</v>
      </c>
      <c r="AE56" s="36">
        <v>-0.361768573615289</v>
      </c>
      <c r="AF56" s="36">
        <v>-0.0633974874188047</v>
      </c>
      <c r="AG56" s="39">
        <v>-0.928044188112391</v>
      </c>
      <c r="AH56" s="39">
        <v>0.192343073130348</v>
      </c>
      <c r="AI56" s="43">
        <v>-1.3030303030303</v>
      </c>
      <c r="AJ56" s="39">
        <f>AI56-AC56-AD56-AE56-AF56-AG56-AH56</f>
        <v>-0.0176828423463462</v>
      </c>
    </row>
    <row r="57" spans="1:36">
      <c r="A57" s="37" t="s">
        <v>33</v>
      </c>
      <c r="B57" s="41"/>
      <c r="C57" s="40" t="s">
        <v>72</v>
      </c>
      <c r="D57" s="38" t="s">
        <v>14</v>
      </c>
      <c r="E57" s="38" t="s">
        <v>9</v>
      </c>
      <c r="F57" s="47">
        <v>0.0626794333384768</v>
      </c>
      <c r="G57" s="43">
        <v>-1.68456043956041</v>
      </c>
      <c r="H57" s="38">
        <f t="shared" si="0"/>
        <v>-0.105587293776062</v>
      </c>
      <c r="I57" s="38" t="s">
        <v>10</v>
      </c>
      <c r="J57" s="44">
        <v>-0.172505198174486</v>
      </c>
      <c r="K57" s="44">
        <v>4.19454545454545</v>
      </c>
      <c r="L57" s="41">
        <f t="shared" si="1"/>
        <v>-0.723580894888252</v>
      </c>
      <c r="M57" s="36" t="s">
        <v>11</v>
      </c>
      <c r="N57" s="44">
        <v>-5.69045537288371</v>
      </c>
      <c r="O57" s="44">
        <v>0.0551229946524004</v>
      </c>
      <c r="P57" s="38">
        <f t="shared" si="2"/>
        <v>-0.313674941089192</v>
      </c>
      <c r="Q57" s="41" t="s">
        <v>12</v>
      </c>
      <c r="R57" s="44">
        <v>-9.51116591469107</v>
      </c>
      <c r="S57" s="44">
        <v>0.0312228163992872</v>
      </c>
      <c r="T57" s="41">
        <f t="shared" si="3"/>
        <v>-0.296965387097558</v>
      </c>
      <c r="U57" s="41" t="s">
        <v>13</v>
      </c>
      <c r="V57" s="44">
        <v>0.171854722977936</v>
      </c>
      <c r="W57" s="44">
        <v>0.915151515151515</v>
      </c>
      <c r="X57" s="41">
        <f t="shared" si="4"/>
        <v>0.157273110119202</v>
      </c>
      <c r="Y57" s="39" t="s">
        <v>13</v>
      </c>
      <c r="Z57" s="39">
        <v>0.72460502786122</v>
      </c>
      <c r="AA57" s="39">
        <v>0.915151515151515</v>
      </c>
      <c r="AB57" s="39">
        <f>Z57*AA57</f>
        <v>0.663123389133601</v>
      </c>
      <c r="AC57" s="36">
        <v>1.4256145600943</v>
      </c>
      <c r="AD57" s="39">
        <v>-3.5006107790119</v>
      </c>
      <c r="AE57" s="36">
        <v>0.0421032664437057</v>
      </c>
      <c r="AF57" s="36">
        <v>-0.403912403940965</v>
      </c>
      <c r="AG57" s="39">
        <v>0.507487875267725</v>
      </c>
      <c r="AH57" s="39">
        <v>0.663123389133601</v>
      </c>
      <c r="AI57" s="43">
        <v>-1.3030303030303</v>
      </c>
      <c r="AJ57" s="39">
        <f>AI57-AC57-AD57-AE57-AF57-AG57-AH57</f>
        <v>-0.036836211016767</v>
      </c>
    </row>
    <row r="58" spans="1:36">
      <c r="A58" s="37" t="s">
        <v>33</v>
      </c>
      <c r="B58" s="41"/>
      <c r="C58" s="40" t="s">
        <v>72</v>
      </c>
      <c r="D58" s="38" t="s">
        <v>15</v>
      </c>
      <c r="E58" s="38" t="s">
        <v>9</v>
      </c>
      <c r="F58" s="44">
        <v>0.0965146693556085</v>
      </c>
      <c r="G58" s="43">
        <v>-0.177305898832846</v>
      </c>
      <c r="H58" s="38">
        <f t="shared" si="0"/>
        <v>-0.0171126202006511</v>
      </c>
      <c r="I58" s="38" t="s">
        <v>10</v>
      </c>
      <c r="J58" s="44">
        <v>-0.0212553602482532</v>
      </c>
      <c r="K58" s="44">
        <v>8.61818181818182</v>
      </c>
      <c r="L58" s="41">
        <f t="shared" si="1"/>
        <v>-0.1831825592304</v>
      </c>
      <c r="M58" s="36" t="s">
        <v>11</v>
      </c>
      <c r="N58" s="44">
        <v>-15.6357199864042</v>
      </c>
      <c r="O58" s="44">
        <v>0.0306457431457459</v>
      </c>
      <c r="P58" s="38">
        <f t="shared" si="2"/>
        <v>-0.479168258602149</v>
      </c>
      <c r="Q58" s="41" t="s">
        <v>12</v>
      </c>
      <c r="R58" s="49">
        <v>12.3168810025503</v>
      </c>
      <c r="S58" s="44">
        <v>-0.0753354978354976</v>
      </c>
      <c r="T58" s="41">
        <f t="shared" si="3"/>
        <v>-0.92789836210771</v>
      </c>
      <c r="U58" s="41" t="s">
        <v>13</v>
      </c>
      <c r="V58" s="44">
        <v>0.440527392161107</v>
      </c>
      <c r="W58" s="44">
        <v>0.915151515151515</v>
      </c>
      <c r="X58" s="41">
        <f t="shared" si="4"/>
        <v>0.403149310401983</v>
      </c>
      <c r="Y58" s="39" t="s">
        <v>13</v>
      </c>
      <c r="Z58" s="39">
        <v>0.36978989927442</v>
      </c>
      <c r="AA58" s="39">
        <v>0.915151515151515</v>
      </c>
      <c r="AB58" s="39">
        <f>Z58*AA58</f>
        <v>0.338413786608712</v>
      </c>
      <c r="AC58" s="36">
        <v>0.426938467559101</v>
      </c>
      <c r="AD58" s="39">
        <v>-1.75660415194035</v>
      </c>
      <c r="AE58" s="36">
        <v>-0.437144794240654</v>
      </c>
      <c r="AF58" s="36">
        <v>-0.512787193384747</v>
      </c>
      <c r="AG58" s="39">
        <v>0.573729780129908</v>
      </c>
      <c r="AH58" s="39">
        <v>0.338413786608712</v>
      </c>
      <c r="AI58" s="43">
        <v>-1.3030303030303</v>
      </c>
      <c r="AJ58" s="39">
        <f>AI58-AC58-AD58-AE58-AF58-AG58-AH58</f>
        <v>0.0644238022377297</v>
      </c>
    </row>
    <row r="59" spans="1:36">
      <c r="A59" s="37" t="s">
        <v>34</v>
      </c>
      <c r="B59" s="41"/>
      <c r="C59" s="40" t="s">
        <v>72</v>
      </c>
      <c r="D59" s="38" t="s">
        <v>8</v>
      </c>
      <c r="E59" s="38" t="s">
        <v>9</v>
      </c>
      <c r="F59" s="48">
        <v>0.258864970711429</v>
      </c>
      <c r="G59" s="43">
        <v>1.3299486418947</v>
      </c>
      <c r="H59" s="38">
        <f t="shared" si="0"/>
        <v>0.344277116231776</v>
      </c>
      <c r="I59" s="38" t="s">
        <v>10</v>
      </c>
      <c r="J59" s="48">
        <v>-0.292290017563405</v>
      </c>
      <c r="K59" s="44">
        <v>5.17151515151515</v>
      </c>
      <c r="L59" s="41">
        <f t="shared" si="1"/>
        <v>-1.51158225446578</v>
      </c>
      <c r="M59" s="36" t="s">
        <v>11</v>
      </c>
      <c r="N59" s="48">
        <v>-21.997355968056</v>
      </c>
      <c r="O59" s="44">
        <v>-0.0156007130124807</v>
      </c>
      <c r="P59" s="38">
        <f t="shared" si="2"/>
        <v>0.343174437491021</v>
      </c>
      <c r="Q59" s="41" t="s">
        <v>12</v>
      </c>
      <c r="R59" s="50">
        <v>-14.8678302460533</v>
      </c>
      <c r="S59" s="44">
        <v>-0.184884135472371</v>
      </c>
      <c r="T59" s="41">
        <f t="shared" si="3"/>
        <v>2.74882594139153</v>
      </c>
      <c r="U59" s="41" t="s">
        <v>13</v>
      </c>
      <c r="V59" s="50">
        <v>-0.750949867634154</v>
      </c>
      <c r="W59" s="44">
        <v>0.339393939393939</v>
      </c>
      <c r="X59" s="41">
        <f t="shared" si="4"/>
        <v>-0.254867833863713</v>
      </c>
      <c r="Y59" s="39" t="s">
        <v>13</v>
      </c>
      <c r="Z59" s="39">
        <v>-0.0545476908618641</v>
      </c>
      <c r="AA59" s="39">
        <v>0.339393939393939</v>
      </c>
      <c r="AB59" s="39">
        <f>Z59*AA59</f>
        <v>-0.0185131556864508</v>
      </c>
      <c r="AC59" s="36">
        <v>-0.0106941253352068</v>
      </c>
      <c r="AD59" s="39">
        <v>-0.069361383283527</v>
      </c>
      <c r="AE59" s="36">
        <v>-0.249312058102497</v>
      </c>
      <c r="AF59" s="36">
        <v>0.31271412962774</v>
      </c>
      <c r="AG59" s="39">
        <v>-0.588665309655356</v>
      </c>
      <c r="AH59" s="39">
        <v>-0.0185131556864509</v>
      </c>
      <c r="AI59" s="43">
        <v>-0.466666666666667</v>
      </c>
      <c r="AJ59" s="39">
        <f>AI59-AC59-AD59-AE59-AF59-AG59-AH59</f>
        <v>0.157165235768631</v>
      </c>
    </row>
    <row r="60" spans="1:36">
      <c r="A60" s="37" t="s">
        <v>34</v>
      </c>
      <c r="B60" s="41"/>
      <c r="C60" s="40" t="s">
        <v>72</v>
      </c>
      <c r="D60" s="38" t="s">
        <v>14</v>
      </c>
      <c r="E60" s="38" t="s">
        <v>9</v>
      </c>
      <c r="F60" s="48">
        <v>-0.116262208731916</v>
      </c>
      <c r="G60" s="43">
        <v>-1.68456043956041</v>
      </c>
      <c r="H60" s="38">
        <f t="shared" si="0"/>
        <v>0.195850717445701</v>
      </c>
      <c r="I60" s="38" t="s">
        <v>10</v>
      </c>
      <c r="J60" s="48">
        <v>-0.0211467208752964</v>
      </c>
      <c r="K60" s="44">
        <v>4.73272727272727</v>
      </c>
      <c r="L60" s="41">
        <f t="shared" si="1"/>
        <v>-0.100081662615266</v>
      </c>
      <c r="M60" s="36" t="s">
        <v>11</v>
      </c>
      <c r="N60" s="48">
        <v>-4.78756999130802</v>
      </c>
      <c r="O60" s="44">
        <v>0.0320356506238873</v>
      </c>
      <c r="P60" s="38">
        <f t="shared" si="2"/>
        <v>-0.153372919578951</v>
      </c>
      <c r="Q60" s="41" t="s">
        <v>12</v>
      </c>
      <c r="R60" s="50">
        <v>1.66380077430251</v>
      </c>
      <c r="S60" s="44">
        <v>0.00422103386809252</v>
      </c>
      <c r="T60" s="41">
        <f t="shared" si="3"/>
        <v>0.00702295941808945</v>
      </c>
      <c r="U60" s="41" t="s">
        <v>13</v>
      </c>
      <c r="V60" s="50">
        <v>-0.750949867634154</v>
      </c>
      <c r="W60" s="44">
        <v>0.339393939393939</v>
      </c>
      <c r="X60" s="41">
        <f t="shared" si="4"/>
        <v>-0.254867833863713</v>
      </c>
      <c r="Y60" s="39" t="s">
        <v>13</v>
      </c>
      <c r="Z60" s="39">
        <v>0.229589252427924</v>
      </c>
      <c r="AA60" s="39">
        <v>0.339393939393939</v>
      </c>
      <c r="AB60" s="39">
        <f>Z60*AA60</f>
        <v>0.0779212008240226</v>
      </c>
      <c r="AC60" s="36">
        <v>0.502089873222397</v>
      </c>
      <c r="AD60" s="39">
        <v>-1.138127544579</v>
      </c>
      <c r="AE60" s="36">
        <v>-0.0561856357580749</v>
      </c>
      <c r="AF60" s="36">
        <v>0.0857540753954758</v>
      </c>
      <c r="AG60" s="39">
        <v>-0.0348628656882509</v>
      </c>
      <c r="AH60" s="39">
        <v>0.0779212008240228</v>
      </c>
      <c r="AI60" s="43">
        <v>-0.466666666666667</v>
      </c>
      <c r="AJ60" s="39">
        <f>AI60-AC60-AD60-AE60-AF60-AG60-AH60</f>
        <v>0.0967442299167632</v>
      </c>
    </row>
    <row r="61" spans="1:36">
      <c r="A61" s="37" t="s">
        <v>34</v>
      </c>
      <c r="B61" s="41"/>
      <c r="C61" s="40" t="s">
        <v>72</v>
      </c>
      <c r="D61" s="38" t="s">
        <v>15</v>
      </c>
      <c r="E61" s="38" t="s">
        <v>9</v>
      </c>
      <c r="F61" s="44">
        <v>-0.0268463532570665</v>
      </c>
      <c r="G61" s="43">
        <v>-0.177305898832846</v>
      </c>
      <c r="H61" s="38">
        <f t="shared" si="0"/>
        <v>0.00476001679462828</v>
      </c>
      <c r="I61" s="38" t="s">
        <v>10</v>
      </c>
      <c r="J61" s="44">
        <v>0.0364094867842348</v>
      </c>
      <c r="K61" s="44">
        <v>9.74666666666667</v>
      </c>
      <c r="L61" s="41">
        <f t="shared" si="1"/>
        <v>0.354871131190342</v>
      </c>
      <c r="M61" s="36" t="s">
        <v>11</v>
      </c>
      <c r="N61" s="44">
        <v>-4.92792618371288</v>
      </c>
      <c r="O61" s="44">
        <v>0.00857808857808924</v>
      </c>
      <c r="P61" s="38">
        <f t="shared" si="2"/>
        <v>-0.0422721873101744</v>
      </c>
      <c r="Q61" s="41" t="s">
        <v>12</v>
      </c>
      <c r="R61" s="44">
        <v>12.8879179961339</v>
      </c>
      <c r="S61" s="44">
        <v>-0.0935090550475169</v>
      </c>
      <c r="T61" s="41">
        <f t="shared" si="3"/>
        <v>-1.20513703334837</v>
      </c>
      <c r="U61" s="41" t="s">
        <v>13</v>
      </c>
      <c r="V61" s="44">
        <v>0.210140106511998</v>
      </c>
      <c r="W61" s="44">
        <v>0.339393939393939</v>
      </c>
      <c r="X61" s="41">
        <f t="shared" si="4"/>
        <v>0.0713202785737689</v>
      </c>
      <c r="Y61" s="39" t="s">
        <v>13</v>
      </c>
      <c r="Z61" s="39">
        <v>0.128770563789985</v>
      </c>
      <c r="AA61" s="39">
        <v>0.339393939393939</v>
      </c>
      <c r="AB61" s="39">
        <f>Z61*AA61</f>
        <v>0.0437039489226615</v>
      </c>
      <c r="AC61" s="36">
        <v>0.208568812701876</v>
      </c>
      <c r="AD61" s="39">
        <v>-0.655332906473547</v>
      </c>
      <c r="AE61" s="36">
        <v>-0.157644037062657</v>
      </c>
      <c r="AF61" s="36">
        <v>0.207050208215225</v>
      </c>
      <c r="AG61" s="39">
        <v>-0.308488171646233</v>
      </c>
      <c r="AH61" s="39">
        <v>0.0437039489226615</v>
      </c>
      <c r="AI61" s="43">
        <v>-0.466666666666667</v>
      </c>
      <c r="AJ61" s="39">
        <f>AI61-AC61-AD61-AE61-AF61-AG61-AH61</f>
        <v>0.195475478676008</v>
      </c>
    </row>
    <row r="62" spans="1:36">
      <c r="A62" s="37" t="s">
        <v>35</v>
      </c>
      <c r="B62" s="41"/>
      <c r="C62" s="40" t="s">
        <v>72</v>
      </c>
      <c r="D62" s="38" t="s">
        <v>8</v>
      </c>
      <c r="E62" s="38" t="s">
        <v>9</v>
      </c>
      <c r="F62" s="44">
        <v>0.0671052823577702</v>
      </c>
      <c r="G62" s="43">
        <v>1.3299486418947</v>
      </c>
      <c r="H62" s="38">
        <f t="shared" si="0"/>
        <v>0.0892465791356769</v>
      </c>
      <c r="I62" s="38" t="s">
        <v>10</v>
      </c>
      <c r="J62" s="44">
        <v>-0.0765685061732785</v>
      </c>
      <c r="K62" s="44">
        <v>5.96060606060606</v>
      </c>
      <c r="L62" s="41">
        <f t="shared" si="1"/>
        <v>-0.456394701947996</v>
      </c>
      <c r="M62" s="36" t="s">
        <v>11</v>
      </c>
      <c r="N62" s="44">
        <v>-8.39452476291218</v>
      </c>
      <c r="O62" s="44">
        <v>0.0300688705234194</v>
      </c>
      <c r="P62" s="38">
        <f t="shared" si="2"/>
        <v>-0.252413878201644</v>
      </c>
      <c r="Q62" s="41" t="s">
        <v>12</v>
      </c>
      <c r="R62" s="44">
        <v>-3.03616707302121</v>
      </c>
      <c r="S62" s="44">
        <v>-0.177052341597796</v>
      </c>
      <c r="T62" s="41">
        <f t="shared" si="3"/>
        <v>0.537560489760532</v>
      </c>
      <c r="U62" s="41" t="s">
        <v>13</v>
      </c>
      <c r="V62" s="44">
        <v>-0.103934487042738</v>
      </c>
      <c r="W62" s="44">
        <v>0.272727272727273</v>
      </c>
      <c r="X62" s="41">
        <f t="shared" si="4"/>
        <v>-0.028345769193474</v>
      </c>
      <c r="Y62" s="39" t="s">
        <v>13</v>
      </c>
      <c r="Z62" s="39">
        <v>-0.113737546378587</v>
      </c>
      <c r="AA62" s="39">
        <v>0.272727272727273</v>
      </c>
      <c r="AB62" s="39">
        <f>Z62*AA62</f>
        <v>-0.0310193308305238</v>
      </c>
      <c r="AC62" s="36">
        <v>0.0149940754724613</v>
      </c>
      <c r="AD62" s="39">
        <v>-0.017058401935639</v>
      </c>
      <c r="AE62" s="36">
        <v>-0.086166454685937</v>
      </c>
      <c r="AF62" s="36">
        <v>-0.00423496811013824</v>
      </c>
      <c r="AG62" s="39">
        <v>-0.0841746373279112</v>
      </c>
      <c r="AH62" s="39">
        <v>-0.0310193308305237</v>
      </c>
      <c r="AI62" s="43">
        <v>0.00606060606060611</v>
      </c>
      <c r="AJ62" s="39">
        <f>AI62-AC62-AD62-AE62-AF62-AG62-AH62</f>
        <v>0.213720323478294</v>
      </c>
    </row>
    <row r="63" spans="1:36">
      <c r="A63" s="37" t="s">
        <v>35</v>
      </c>
      <c r="B63" s="41"/>
      <c r="C63" s="40" t="s">
        <v>72</v>
      </c>
      <c r="D63" s="38" t="s">
        <v>14</v>
      </c>
      <c r="E63" s="38" t="s">
        <v>9</v>
      </c>
      <c r="F63" s="44">
        <v>0.00777045822629994</v>
      </c>
      <c r="G63" s="43">
        <v>-1.68456043956041</v>
      </c>
      <c r="H63" s="38">
        <f t="shared" si="0"/>
        <v>-0.0130898065252816</v>
      </c>
      <c r="I63" s="38" t="s">
        <v>10</v>
      </c>
      <c r="J63" s="44">
        <v>0.0288868733674465</v>
      </c>
      <c r="K63" s="44">
        <v>3.32787878787879</v>
      </c>
      <c r="L63" s="41">
        <f t="shared" si="1"/>
        <v>0.096132013127666</v>
      </c>
      <c r="M63" s="36" t="s">
        <v>11</v>
      </c>
      <c r="N63" s="44">
        <v>2.35061076862859</v>
      </c>
      <c r="O63" s="44">
        <v>0.0814572693224358</v>
      </c>
      <c r="P63" s="38">
        <f t="shared" si="2"/>
        <v>0.191474334452397</v>
      </c>
      <c r="Q63" s="41" t="s">
        <v>12</v>
      </c>
      <c r="R63" s="44">
        <v>2.76209722068695</v>
      </c>
      <c r="S63" s="44">
        <v>0.0602110997616617</v>
      </c>
      <c r="T63" s="41">
        <f t="shared" si="3"/>
        <v>0.16630891130619</v>
      </c>
      <c r="U63" s="41" t="s">
        <v>13</v>
      </c>
      <c r="V63" s="44">
        <v>-0.103934487042738</v>
      </c>
      <c r="W63" s="44">
        <v>0.272727272727273</v>
      </c>
      <c r="X63" s="41">
        <f t="shared" si="4"/>
        <v>-0.028345769193474</v>
      </c>
      <c r="Y63" s="39" t="s">
        <v>13</v>
      </c>
      <c r="Z63" s="39">
        <v>0.087725756466894</v>
      </c>
      <c r="AA63" s="39">
        <v>0.272727272727273</v>
      </c>
      <c r="AB63" s="39">
        <f>Z63*AA63</f>
        <v>0.0239252063091529</v>
      </c>
      <c r="AC63" s="36">
        <v>0.223476417467554</v>
      </c>
      <c r="AD63" s="39">
        <v>-0.384655898647164</v>
      </c>
      <c r="AE63" s="36">
        <v>0.0410181085209513</v>
      </c>
      <c r="AF63" s="36">
        <v>-0.0939867280938553</v>
      </c>
      <c r="AG63" s="39">
        <v>0.079306216865749</v>
      </c>
      <c r="AH63" s="39">
        <v>0.0239252063091529</v>
      </c>
      <c r="AI63" s="43">
        <v>0.00606060606060611</v>
      </c>
      <c r="AJ63" s="39">
        <f>AI63-AC63-AD63-AE63-AF63-AG63-AH63</f>
        <v>0.116977283638218</v>
      </c>
    </row>
    <row r="64" spans="1:36">
      <c r="A64" s="37" t="s">
        <v>35</v>
      </c>
      <c r="B64" s="41"/>
      <c r="C64" s="40" t="s">
        <v>72</v>
      </c>
      <c r="D64" s="38" t="s">
        <v>15</v>
      </c>
      <c r="E64" s="38" t="s">
        <v>9</v>
      </c>
      <c r="F64" s="44">
        <v>0.0917572756932134</v>
      </c>
      <c r="G64" s="43">
        <v>-0.177305898832846</v>
      </c>
      <c r="H64" s="38">
        <f t="shared" si="0"/>
        <v>-0.0162691062412385</v>
      </c>
      <c r="I64" s="38" t="s">
        <v>10</v>
      </c>
      <c r="J64" s="44">
        <v>-0.0450273432043265</v>
      </c>
      <c r="K64" s="44">
        <v>9.20363636363636</v>
      </c>
      <c r="L64" s="41">
        <f t="shared" si="1"/>
        <v>-0.414415293273274</v>
      </c>
      <c r="M64" s="36" t="s">
        <v>11</v>
      </c>
      <c r="N64" s="44">
        <v>1.41134750832301</v>
      </c>
      <c r="O64" s="44">
        <v>0.0545936639118441</v>
      </c>
      <c r="P64" s="38">
        <f t="shared" si="2"/>
        <v>0.077050631532205</v>
      </c>
      <c r="Q64" s="41" t="s">
        <v>12</v>
      </c>
      <c r="R64" s="44">
        <v>-4.85126663919648</v>
      </c>
      <c r="S64" s="44">
        <v>-0.0606714876033056</v>
      </c>
      <c r="T64" s="41">
        <f t="shared" si="3"/>
        <v>0.294333563760339</v>
      </c>
      <c r="U64" s="41" t="s">
        <v>13</v>
      </c>
      <c r="V64" s="44">
        <v>0.0403869353497308</v>
      </c>
      <c r="W64" s="44">
        <v>0.272727272727273</v>
      </c>
      <c r="X64" s="41">
        <f t="shared" si="4"/>
        <v>0.0110146187317448</v>
      </c>
      <c r="Y64" s="39" t="s">
        <v>13</v>
      </c>
      <c r="Z64" s="39">
        <v>-0.086462147547463</v>
      </c>
      <c r="AA64" s="39">
        <v>0.272727272727273</v>
      </c>
      <c r="AB64" s="39">
        <f>Z64*AA64</f>
        <v>-0.0235805856947627</v>
      </c>
      <c r="AC64" s="36">
        <v>0.198100982834743</v>
      </c>
      <c r="AD64" s="39">
        <v>-0.258542295864523</v>
      </c>
      <c r="AE64" s="36">
        <v>-0.0909033968046815</v>
      </c>
      <c r="AF64" s="36">
        <v>-0.119207707239481</v>
      </c>
      <c r="AG64" s="39">
        <v>0.0357384000426439</v>
      </c>
      <c r="AH64" s="39">
        <v>-0.0235805856947626</v>
      </c>
      <c r="AI64" s="43">
        <v>0.00606060606060611</v>
      </c>
      <c r="AJ64" s="39">
        <f>AI64-AC64-AD64-AE64-AF64-AG64-AH64</f>
        <v>0.264455208786667</v>
      </c>
    </row>
    <row r="65" spans="1:36">
      <c r="A65" s="39" t="s">
        <v>73</v>
      </c>
      <c r="B65" s="39"/>
      <c r="C65" s="40" t="s">
        <v>72</v>
      </c>
      <c r="D65" s="36" t="s">
        <v>8</v>
      </c>
      <c r="E65" s="36" t="s">
        <v>9</v>
      </c>
      <c r="F65" s="36">
        <v>0.474067645247766</v>
      </c>
      <c r="G65" s="51">
        <v>-0.000266617063493627</v>
      </c>
      <c r="H65" s="36">
        <f t="shared" si="0"/>
        <v>-0.000126394523473298</v>
      </c>
      <c r="I65" s="36" t="s">
        <v>10</v>
      </c>
      <c r="J65" s="36">
        <v>0.117818034352269</v>
      </c>
      <c r="K65" s="51">
        <v>3.07</v>
      </c>
      <c r="L65" s="39">
        <f t="shared" si="1"/>
        <v>0.361701365461466</v>
      </c>
      <c r="M65" s="36" t="s">
        <v>11</v>
      </c>
      <c r="N65" s="36">
        <v>-5.19236890309667</v>
      </c>
      <c r="O65" s="51">
        <v>-0.0285509031198685</v>
      </c>
      <c r="P65" s="36">
        <f t="shared" si="2"/>
        <v>0.148246821514931</v>
      </c>
      <c r="Q65" s="39" t="s">
        <v>12</v>
      </c>
      <c r="R65" s="39">
        <v>-5.18791050251837</v>
      </c>
      <c r="S65" s="51">
        <v>-0.0227750410509031</v>
      </c>
      <c r="T65" s="39">
        <f t="shared" si="3"/>
        <v>0.118154874663267</v>
      </c>
      <c r="U65" s="39" t="s">
        <v>13</v>
      </c>
      <c r="V65" s="39">
        <v>-0.665819592142018</v>
      </c>
      <c r="W65" s="51">
        <v>0.725</v>
      </c>
      <c r="X65" s="39">
        <f t="shared" si="4"/>
        <v>-0.482719204302963</v>
      </c>
      <c r="Y65" s="39" t="s">
        <v>13</v>
      </c>
      <c r="Z65" s="39">
        <v>0.489538230866299</v>
      </c>
      <c r="AA65" s="43">
        <v>0.669937205651491</v>
      </c>
      <c r="AB65" s="39">
        <f>Z65*AA65</f>
        <v>0.327959874446143</v>
      </c>
      <c r="AC65" s="39">
        <v>-0.00954584607246428</v>
      </c>
      <c r="AD65" s="39">
        <v>0.171690025846693</v>
      </c>
      <c r="AE65" s="39">
        <v>-0.0270558727326184</v>
      </c>
      <c r="AF65" s="39">
        <v>-0.010268627934907</v>
      </c>
      <c r="AG65" s="39">
        <v>0.011907163116687</v>
      </c>
      <c r="AH65" s="39">
        <v>0.327959874446143</v>
      </c>
      <c r="AI65" s="43">
        <v>0.857731554160125</v>
      </c>
      <c r="AJ65" s="39">
        <f>AI65-AC65-AD65-AE65-AF65-AG65-AH65</f>
        <v>0.393044837490592</v>
      </c>
    </row>
    <row r="66" spans="1:36">
      <c r="A66" s="39" t="s">
        <v>73</v>
      </c>
      <c r="B66" s="39"/>
      <c r="C66" s="40" t="s">
        <v>72</v>
      </c>
      <c r="D66" s="36" t="s">
        <v>14</v>
      </c>
      <c r="E66" s="36" t="s">
        <v>9</v>
      </c>
      <c r="F66" s="36">
        <v>-0.308127878760072</v>
      </c>
      <c r="G66" s="51">
        <v>0.0614732142857139</v>
      </c>
      <c r="H66" s="36">
        <f t="shared" ref="H66:H129" si="5">F66*G66</f>
        <v>-0.0189416111184204</v>
      </c>
      <c r="I66" s="36" t="s">
        <v>10</v>
      </c>
      <c r="J66" s="36">
        <v>0.275625955083916</v>
      </c>
      <c r="K66" s="51">
        <v>3.71964285714286</v>
      </c>
      <c r="L66" s="39">
        <f t="shared" ref="L66:L129" si="6">J66*K66</f>
        <v>1.02523011507107</v>
      </c>
      <c r="M66" s="36" t="s">
        <v>11</v>
      </c>
      <c r="N66" s="36">
        <v>13.4481363254017</v>
      </c>
      <c r="O66" s="51">
        <v>-0.0511891233766224</v>
      </c>
      <c r="P66" s="36">
        <f t="shared" ref="P66:P129" si="7">N66*O66</f>
        <v>-0.688398309546625</v>
      </c>
      <c r="Q66" s="39" t="s">
        <v>12</v>
      </c>
      <c r="R66" s="39">
        <v>4.1692947939614</v>
      </c>
      <c r="S66" s="51">
        <v>-0.0698498376623379</v>
      </c>
      <c r="T66" s="39">
        <f t="shared" ref="T66:T129" si="8">R66*S66</f>
        <v>-0.291224564524634</v>
      </c>
      <c r="U66" s="39" t="s">
        <v>13</v>
      </c>
      <c r="V66" s="39">
        <v>-0.665819592142018</v>
      </c>
      <c r="W66" s="51">
        <v>0.725</v>
      </c>
      <c r="X66" s="39">
        <f t="shared" ref="X66:X129" si="9">V66*W66</f>
        <v>-0.482719204302963</v>
      </c>
      <c r="Y66" s="39" t="s">
        <v>13</v>
      </c>
      <c r="Z66" s="39">
        <v>0.200344998325291</v>
      </c>
      <c r="AA66" s="43">
        <v>0.669937205651491</v>
      </c>
      <c r="AB66" s="39">
        <f>Z66*AA66</f>
        <v>0.134218568344298</v>
      </c>
      <c r="AC66" s="39">
        <v>0.0105995835247983</v>
      </c>
      <c r="AD66" s="39">
        <v>-0.282466171250824</v>
      </c>
      <c r="AE66" s="39">
        <v>0.21298277706674</v>
      </c>
      <c r="AF66" s="39">
        <v>0.29977626402359</v>
      </c>
      <c r="AG66" s="39">
        <v>0.191071663029605</v>
      </c>
      <c r="AH66" s="39">
        <v>0.134218568344298</v>
      </c>
      <c r="AI66" s="43">
        <v>0.857731554160125</v>
      </c>
      <c r="AJ66" s="39">
        <f>AI66-AC66-AD66-AE66-AF66-AG66-AH66</f>
        <v>0.291548869421918</v>
      </c>
    </row>
    <row r="67" spans="1:36">
      <c r="A67" s="39" t="s">
        <v>73</v>
      </c>
      <c r="B67" s="39"/>
      <c r="C67" s="40" t="s">
        <v>72</v>
      </c>
      <c r="D67" s="36" t="s">
        <v>15</v>
      </c>
      <c r="E67" s="36" t="s">
        <v>9</v>
      </c>
      <c r="F67" s="36">
        <v>2.20325360551423</v>
      </c>
      <c r="G67" s="51">
        <v>0.0254417517006821</v>
      </c>
      <c r="H67" s="36">
        <f t="shared" si="5"/>
        <v>0.0560546311651256</v>
      </c>
      <c r="I67" s="36" t="s">
        <v>10</v>
      </c>
      <c r="J67" s="36">
        <v>0.00490998780160934</v>
      </c>
      <c r="K67" s="51">
        <v>7.275</v>
      </c>
      <c r="L67" s="39">
        <f t="shared" si="6"/>
        <v>0.0357201612567079</v>
      </c>
      <c r="M67" s="36" t="s">
        <v>11</v>
      </c>
      <c r="N67" s="36">
        <v>-9.04769756245145</v>
      </c>
      <c r="O67" s="51">
        <v>-0.0405706075533657</v>
      </c>
      <c r="P67" s="36">
        <f t="shared" si="7"/>
        <v>0.367070587067761</v>
      </c>
      <c r="Q67" s="39" t="s">
        <v>12</v>
      </c>
      <c r="R67" s="39">
        <v>-1.19862972430723</v>
      </c>
      <c r="S67" s="51">
        <v>-0.0470340722495897</v>
      </c>
      <c r="T67" s="39">
        <f t="shared" si="8"/>
        <v>0.056376437053572</v>
      </c>
      <c r="U67" s="39" t="s">
        <v>13</v>
      </c>
      <c r="V67" s="39">
        <v>0.0950860511964703</v>
      </c>
      <c r="W67" s="51">
        <v>0.725</v>
      </c>
      <c r="X67" s="39">
        <f t="shared" si="9"/>
        <v>0.068937387117441</v>
      </c>
      <c r="Y67" s="39" t="s">
        <v>13</v>
      </c>
      <c r="Z67" s="39">
        <v>0.220612679131636</v>
      </c>
      <c r="AA67" s="43">
        <v>0.669937205651491</v>
      </c>
      <c r="AB67" s="39">
        <f>Z67*AA67</f>
        <v>0.147796641788737</v>
      </c>
      <c r="AC67" s="39">
        <v>0.0463370737632936</v>
      </c>
      <c r="AD67" s="39">
        <v>0.0651714704520599</v>
      </c>
      <c r="AE67" s="39">
        <v>0.100493435473122</v>
      </c>
      <c r="AF67" s="39">
        <v>0.133308618936122</v>
      </c>
      <c r="AG67" s="39">
        <v>0.132343104098088</v>
      </c>
      <c r="AH67" s="39">
        <v>0.147796641788737</v>
      </c>
      <c r="AI67" s="43">
        <v>0.857731554160125</v>
      </c>
      <c r="AJ67" s="39">
        <f>AI67-AC67-AD67-AE67-AF67-AG67-AH67</f>
        <v>0.232281209648703</v>
      </c>
    </row>
    <row r="68" spans="1:36">
      <c r="A68" s="35" t="s">
        <v>37</v>
      </c>
      <c r="B68" s="39"/>
      <c r="C68" s="40" t="s">
        <v>72</v>
      </c>
      <c r="D68" s="36" t="s">
        <v>8</v>
      </c>
      <c r="E68" s="36" t="s">
        <v>9</v>
      </c>
      <c r="F68" s="36">
        <v>-0.0850413636567443</v>
      </c>
      <c r="G68" s="43">
        <v>1.12152064327485</v>
      </c>
      <c r="H68" s="36">
        <f t="shared" si="5"/>
        <v>-0.0953756448732823</v>
      </c>
      <c r="I68" s="36" t="s">
        <v>10</v>
      </c>
      <c r="J68" s="36">
        <v>-0.0258969764554376</v>
      </c>
      <c r="K68" s="43">
        <v>1.91508771929825</v>
      </c>
      <c r="L68" s="39">
        <f t="shared" si="6"/>
        <v>-0.0495949815767645</v>
      </c>
      <c r="M68" s="36" t="s">
        <v>11</v>
      </c>
      <c r="N68" s="36">
        <v>7.65158711017655</v>
      </c>
      <c r="O68" s="43">
        <v>0.00083290751149785</v>
      </c>
      <c r="P68" s="36">
        <f t="shared" si="7"/>
        <v>0.00637306437894618</v>
      </c>
      <c r="Q68" s="39" t="s">
        <v>12</v>
      </c>
      <c r="R68" s="39">
        <v>2.8239614057058</v>
      </c>
      <c r="S68" s="43">
        <v>-0.0395469255663429</v>
      </c>
      <c r="T68" s="39">
        <f t="shared" si="8"/>
        <v>-0.111678991513672</v>
      </c>
      <c r="U68" s="39" t="s">
        <v>13</v>
      </c>
      <c r="V68" s="39">
        <v>0.105058597971404</v>
      </c>
      <c r="W68" s="43">
        <v>0.201754385964912</v>
      </c>
      <c r="X68" s="39">
        <f t="shared" si="9"/>
        <v>0.0211960329240552</v>
      </c>
      <c r="Y68" s="39" t="s">
        <v>13</v>
      </c>
      <c r="Z68" s="39">
        <v>0.0736957116043133</v>
      </c>
      <c r="AA68" s="43">
        <v>0.201754385964912</v>
      </c>
      <c r="AB68" s="39">
        <f>Z68*AA68</f>
        <v>0.0148684330429755</v>
      </c>
      <c r="AC68" s="39">
        <v>-0.10350176615321</v>
      </c>
      <c r="AD68" s="39">
        <v>-0.0429526929967511</v>
      </c>
      <c r="AE68" s="39">
        <v>0.00771353495406017</v>
      </c>
      <c r="AF68" s="39">
        <v>0.206273237043909</v>
      </c>
      <c r="AG68" s="39">
        <v>-0.10781324851954</v>
      </c>
      <c r="AH68" s="39">
        <v>0.0148684330429755</v>
      </c>
      <c r="AI68" s="43">
        <v>-0.0105263157894737</v>
      </c>
      <c r="AJ68" s="39">
        <f>AI68-AC68-AD68-AE68-AF68-AG68-AH68</f>
        <v>0.0148861868390827</v>
      </c>
    </row>
    <row r="69" spans="1:36">
      <c r="A69" s="35" t="s">
        <v>37</v>
      </c>
      <c r="B69" s="39"/>
      <c r="C69" s="40" t="s">
        <v>72</v>
      </c>
      <c r="D69" s="36" t="s">
        <v>14</v>
      </c>
      <c r="E69" s="36" t="s">
        <v>9</v>
      </c>
      <c r="F69" s="36">
        <v>-0.00574950574641556</v>
      </c>
      <c r="G69" s="43">
        <v>-6.92355994152047</v>
      </c>
      <c r="H69" s="36">
        <f t="shared" si="5"/>
        <v>0.0398070476694245</v>
      </c>
      <c r="I69" s="36" t="s">
        <v>10</v>
      </c>
      <c r="J69" s="36">
        <v>-0.0154382274187882</v>
      </c>
      <c r="K69" s="43">
        <v>1.88929824561403</v>
      </c>
      <c r="L69" s="39">
        <f t="shared" si="6"/>
        <v>-0.029167415977707</v>
      </c>
      <c r="M69" s="36" t="s">
        <v>11</v>
      </c>
      <c r="N69" s="36">
        <v>0.784304807657</v>
      </c>
      <c r="O69" s="43">
        <v>0.0320218020780131</v>
      </c>
      <c r="P69" s="36">
        <f t="shared" si="7"/>
        <v>0.0251148533196266</v>
      </c>
      <c r="Q69" s="39" t="s">
        <v>12</v>
      </c>
      <c r="R69" s="39">
        <v>3.16151536004232</v>
      </c>
      <c r="S69" s="43">
        <v>-0.0289814341679441</v>
      </c>
      <c r="T69" s="39">
        <f t="shared" si="8"/>
        <v>-0.0916252492780106</v>
      </c>
      <c r="U69" s="39" t="s">
        <v>13</v>
      </c>
      <c r="V69" s="39">
        <v>0.105058597971404</v>
      </c>
      <c r="W69" s="43">
        <v>0.201754385964912</v>
      </c>
      <c r="X69" s="39">
        <f t="shared" si="9"/>
        <v>0.0211960329240552</v>
      </c>
      <c r="Y69" s="39" t="s">
        <v>13</v>
      </c>
      <c r="Z69" s="39">
        <v>0.316038419924674</v>
      </c>
      <c r="AA69" s="43">
        <v>0.201754385964912</v>
      </c>
      <c r="AB69" s="39">
        <f>Z69*AA69</f>
        <v>0.0637621373532236</v>
      </c>
      <c r="AC69" s="39">
        <v>-0.0557537186821867</v>
      </c>
      <c r="AD69" s="39">
        <v>-0.0727580876234654</v>
      </c>
      <c r="AE69" s="39">
        <v>-0.123397394244149</v>
      </c>
      <c r="AF69" s="39">
        <v>0.370060238192728</v>
      </c>
      <c r="AG69" s="39">
        <v>-0.307728629769809</v>
      </c>
      <c r="AH69" s="39">
        <v>0.0637621373532237</v>
      </c>
      <c r="AI69" s="43">
        <v>-0.0105263157894737</v>
      </c>
      <c r="AJ69" s="39">
        <f>AI69-AC69-AD69-AE69-AF69-AG69-AH69</f>
        <v>0.115289138984185</v>
      </c>
    </row>
    <row r="70" spans="1:36">
      <c r="A70" s="35" t="s">
        <v>37</v>
      </c>
      <c r="B70" s="39"/>
      <c r="C70" s="40" t="s">
        <v>72</v>
      </c>
      <c r="D70" s="36" t="s">
        <v>15</v>
      </c>
      <c r="E70" s="36" t="s">
        <v>9</v>
      </c>
      <c r="F70" s="36">
        <v>0.00612216901473455</v>
      </c>
      <c r="G70" s="43">
        <v>-2.90101964912279</v>
      </c>
      <c r="H70" s="36">
        <f t="shared" si="5"/>
        <v>-0.0177605326069956</v>
      </c>
      <c r="I70" s="36" t="s">
        <v>10</v>
      </c>
      <c r="J70" s="36">
        <v>-0.0476650274953014</v>
      </c>
      <c r="K70" s="43">
        <v>3.96929824561403</v>
      </c>
      <c r="L70" s="39">
        <f t="shared" si="6"/>
        <v>-0.189196710014244</v>
      </c>
      <c r="M70" s="36" t="s">
        <v>11</v>
      </c>
      <c r="N70" s="36">
        <v>-5.61034952305468</v>
      </c>
      <c r="O70" s="43">
        <v>0.0164646983311918</v>
      </c>
      <c r="P70" s="36">
        <f t="shared" si="7"/>
        <v>-0.0923727124296411</v>
      </c>
      <c r="Q70" s="39" t="s">
        <v>12</v>
      </c>
      <c r="R70" s="39">
        <v>11.3316286387648</v>
      </c>
      <c r="S70" s="43">
        <v>-0.033277706461275</v>
      </c>
      <c r="T70" s="39">
        <f t="shared" si="8"/>
        <v>-0.377090611568992</v>
      </c>
      <c r="U70" s="39" t="s">
        <v>13</v>
      </c>
      <c r="V70" s="39">
        <v>0.363770724257843</v>
      </c>
      <c r="W70" s="43">
        <v>0.201754385964912</v>
      </c>
      <c r="X70" s="39">
        <f t="shared" si="9"/>
        <v>0.0733923391046524</v>
      </c>
      <c r="Y70" s="39" t="s">
        <v>13</v>
      </c>
      <c r="Z70" s="39">
        <v>0.393657729549149</v>
      </c>
      <c r="AA70" s="43">
        <v>0.201754385964912</v>
      </c>
      <c r="AB70" s="39">
        <f>Z70*AA70</f>
        <v>0.0794221735055299</v>
      </c>
      <c r="AC70" s="39">
        <v>-0.0207805748998536</v>
      </c>
      <c r="AD70" s="39">
        <v>-0.0750104733543834</v>
      </c>
      <c r="AE70" s="39">
        <v>-0.105954766976677</v>
      </c>
      <c r="AF70" s="39">
        <v>0.440796508255552</v>
      </c>
      <c r="AG70" s="39">
        <v>-0.376211258238311</v>
      </c>
      <c r="AH70" s="39">
        <v>0.0794221735055301</v>
      </c>
      <c r="AI70" s="43">
        <v>-0.0105263157894737</v>
      </c>
      <c r="AJ70" s="39">
        <f>AI70-AC70-AD70-AE70-AF70-AG70-AH70</f>
        <v>0.0472120759186692</v>
      </c>
    </row>
    <row r="71" spans="1:36">
      <c r="A71" s="35" t="s">
        <v>38</v>
      </c>
      <c r="B71" s="39"/>
      <c r="C71" s="40" t="s">
        <v>72</v>
      </c>
      <c r="D71" s="36" t="s">
        <v>8</v>
      </c>
      <c r="E71" s="36" t="s">
        <v>9</v>
      </c>
      <c r="F71" s="36">
        <v>-0.0640676027363754</v>
      </c>
      <c r="G71" s="43">
        <v>1.12152064327485</v>
      </c>
      <c r="H71" s="36">
        <f t="shared" si="5"/>
        <v>-0.0718531390339773</v>
      </c>
      <c r="I71" s="36" t="s">
        <v>10</v>
      </c>
      <c r="J71" s="36">
        <v>0.0125334552639506</v>
      </c>
      <c r="K71" s="43">
        <v>2.36877192982456</v>
      </c>
      <c r="L71" s="39">
        <f t="shared" si="6"/>
        <v>0.0296888970129581</v>
      </c>
      <c r="M71" s="36" t="s">
        <v>11</v>
      </c>
      <c r="N71" s="36">
        <v>7.0718767719015</v>
      </c>
      <c r="O71" s="43">
        <v>0.0186411784177428</v>
      </c>
      <c r="P71" s="36">
        <f t="shared" si="7"/>
        <v>0.131828116653307</v>
      </c>
      <c r="Q71" s="39" t="s">
        <v>12</v>
      </c>
      <c r="R71" s="39">
        <v>1.54549927934125</v>
      </c>
      <c r="S71" s="43">
        <v>-0.0222955974842767</v>
      </c>
      <c r="T71" s="39">
        <f t="shared" si="8"/>
        <v>-0.0344578298444322</v>
      </c>
      <c r="U71" s="39" t="s">
        <v>13</v>
      </c>
      <c r="V71" s="39">
        <v>0.119797899690069</v>
      </c>
      <c r="W71" s="43">
        <v>-0.58421052631579</v>
      </c>
      <c r="X71" s="39">
        <f t="shared" si="9"/>
        <v>-0.0699871940294614</v>
      </c>
      <c r="Y71" s="39" t="s">
        <v>13</v>
      </c>
      <c r="Z71" s="39">
        <v>0.136785629477227</v>
      </c>
      <c r="AA71" s="43">
        <v>-0.58421052631579</v>
      </c>
      <c r="AB71" s="39">
        <f>Z71*AA71</f>
        <v>-0.0799116045893274</v>
      </c>
      <c r="AC71" s="39">
        <v>-0.0834659533340468</v>
      </c>
      <c r="AD71" s="39">
        <v>-0.018315597772312</v>
      </c>
      <c r="AE71" s="39">
        <v>-0.00394085612682271</v>
      </c>
      <c r="AF71" s="39">
        <v>0.216250333805813</v>
      </c>
      <c r="AG71" s="39">
        <v>-0.106686159714572</v>
      </c>
      <c r="AH71" s="39">
        <v>-0.0799116045893271</v>
      </c>
      <c r="AI71" s="43">
        <v>-0.0754385964912281</v>
      </c>
      <c r="AJ71" s="39">
        <f>AI71-AC71-AD71-AE71-AF71-AG71-AH71</f>
        <v>0.000631241240039521</v>
      </c>
    </row>
    <row r="72" spans="1:36">
      <c r="A72" s="35" t="s">
        <v>38</v>
      </c>
      <c r="B72" s="39"/>
      <c r="C72" s="40" t="s">
        <v>72</v>
      </c>
      <c r="D72" s="36" t="s">
        <v>14</v>
      </c>
      <c r="E72" s="36" t="s">
        <v>9</v>
      </c>
      <c r="F72" s="36">
        <v>0.00598179849538001</v>
      </c>
      <c r="G72" s="43">
        <v>-6.92355994152047</v>
      </c>
      <c r="H72" s="36">
        <f t="shared" si="5"/>
        <v>-0.0414153404408605</v>
      </c>
      <c r="I72" s="36" t="s">
        <v>10</v>
      </c>
      <c r="J72" s="36">
        <v>0.0247034651386522</v>
      </c>
      <c r="K72" s="43">
        <v>1.77175438596491</v>
      </c>
      <c r="L72" s="39">
        <f t="shared" si="6"/>
        <v>0.0437684727079383</v>
      </c>
      <c r="M72" s="36" t="s">
        <v>11</v>
      </c>
      <c r="N72" s="36">
        <v>-0.287288335097339</v>
      </c>
      <c r="O72" s="43">
        <v>0.0244777832431546</v>
      </c>
      <c r="P72" s="36">
        <f t="shared" si="7"/>
        <v>-0.00703218159479943</v>
      </c>
      <c r="Q72" s="39" t="s">
        <v>12</v>
      </c>
      <c r="R72" s="39">
        <v>5.50806024131183</v>
      </c>
      <c r="S72" s="43">
        <v>-0.0345302508607969</v>
      </c>
      <c r="T72" s="39">
        <f t="shared" si="8"/>
        <v>-0.190194701888879</v>
      </c>
      <c r="U72" s="39" t="s">
        <v>13</v>
      </c>
      <c r="V72" s="39">
        <v>0.119797899690069</v>
      </c>
      <c r="W72" s="43">
        <v>-0.58421052631579</v>
      </c>
      <c r="X72" s="39">
        <f t="shared" si="9"/>
        <v>-0.0699871940294614</v>
      </c>
      <c r="Y72" s="39" t="s">
        <v>13</v>
      </c>
      <c r="Z72" s="39">
        <v>0.14299933400961</v>
      </c>
      <c r="AA72" s="43">
        <v>-0.58421052631579</v>
      </c>
      <c r="AB72" s="39">
        <f>Z72*AA72</f>
        <v>-0.0835417161845617</v>
      </c>
      <c r="AC72" s="39">
        <v>-0.0583556163892997</v>
      </c>
      <c r="AD72" s="39">
        <v>-0.0650842697628748</v>
      </c>
      <c r="AE72" s="39">
        <v>-0.175730113328284</v>
      </c>
      <c r="AF72" s="39">
        <v>0.501121683108072</v>
      </c>
      <c r="AG72" s="39">
        <v>-0.384290879748325</v>
      </c>
      <c r="AH72" s="39">
        <v>-0.0835417161845614</v>
      </c>
      <c r="AI72" s="43">
        <v>-0.0754385964912281</v>
      </c>
      <c r="AJ72" s="39">
        <f>AI72-AC72-AD72-AE72-AF72-AG72-AH72</f>
        <v>0.190442315814045</v>
      </c>
    </row>
    <row r="73" spans="1:36">
      <c r="A73" s="35" t="s">
        <v>38</v>
      </c>
      <c r="B73" s="39"/>
      <c r="C73" s="40" t="s">
        <v>72</v>
      </c>
      <c r="D73" s="36" t="s">
        <v>15</v>
      </c>
      <c r="E73" s="36" t="s">
        <v>9</v>
      </c>
      <c r="F73" s="36">
        <v>0.0159110808627865</v>
      </c>
      <c r="G73" s="43">
        <v>-2.90101964912279</v>
      </c>
      <c r="H73" s="36">
        <f t="shared" si="5"/>
        <v>-0.0461583582217252</v>
      </c>
      <c r="I73" s="36" t="s">
        <v>10</v>
      </c>
      <c r="J73" s="36">
        <v>-0.0590118972888788</v>
      </c>
      <c r="K73" s="43">
        <v>3.93456140350877</v>
      </c>
      <c r="L73" s="39">
        <f t="shared" si="6"/>
        <v>-0.232185933420646</v>
      </c>
      <c r="M73" s="36" t="s">
        <v>11</v>
      </c>
      <c r="N73" s="36">
        <v>-10.0468347123734</v>
      </c>
      <c r="O73" s="43">
        <v>0.0215127441244617</v>
      </c>
      <c r="P73" s="36">
        <f t="shared" si="7"/>
        <v>-0.216134984428049</v>
      </c>
      <c r="Q73" s="39" t="s">
        <v>12</v>
      </c>
      <c r="R73" s="39">
        <v>15.1848602238985</v>
      </c>
      <c r="S73" s="43">
        <v>-0.0288257199602781</v>
      </c>
      <c r="T73" s="39">
        <f t="shared" si="8"/>
        <v>-0.437714528450064</v>
      </c>
      <c r="U73" s="39" t="s">
        <v>13</v>
      </c>
      <c r="V73" s="39">
        <v>-0.0149043733382955</v>
      </c>
      <c r="W73" s="43">
        <v>-0.58421052631579</v>
      </c>
      <c r="X73" s="39">
        <f t="shared" si="9"/>
        <v>0.00870729179237264</v>
      </c>
      <c r="Y73" s="39" t="s">
        <v>13</v>
      </c>
      <c r="Z73" s="39">
        <v>0.102682212416846</v>
      </c>
      <c r="AA73" s="43">
        <v>-0.58421052631579</v>
      </c>
      <c r="AB73" s="39">
        <f>Z73*AA73</f>
        <v>-0.0599880293593153</v>
      </c>
      <c r="AC73" s="39">
        <v>-0.0204307692262449</v>
      </c>
      <c r="AD73" s="39">
        <v>-0.121464122969363</v>
      </c>
      <c r="AE73" s="39">
        <v>-0.163149059743428</v>
      </c>
      <c r="AF73" s="39">
        <v>0.622890242057319</v>
      </c>
      <c r="AG73" s="39">
        <v>-0.445039448228696</v>
      </c>
      <c r="AH73" s="39">
        <v>-0.0599880293593151</v>
      </c>
      <c r="AI73" s="43">
        <v>-0.0754385964912281</v>
      </c>
      <c r="AJ73" s="39">
        <f>AI73-AC73-AD73-AE73-AF73-AG73-AH73</f>
        <v>0.1117425909785</v>
      </c>
    </row>
    <row r="74" spans="1:36">
      <c r="A74" s="37" t="s">
        <v>39</v>
      </c>
      <c r="B74" s="41"/>
      <c r="C74" s="40" t="s">
        <v>72</v>
      </c>
      <c r="D74" s="38" t="s">
        <v>8</v>
      </c>
      <c r="E74" s="38" t="s">
        <v>9</v>
      </c>
      <c r="F74" s="38">
        <v>0.0750244001788796</v>
      </c>
      <c r="G74" s="43">
        <v>-0.69166339612767</v>
      </c>
      <c r="H74" s="36">
        <f t="shared" si="5"/>
        <v>-0.0518916314201652</v>
      </c>
      <c r="I74" s="38" t="s">
        <v>10</v>
      </c>
      <c r="J74" s="38">
        <v>-0.0311205993012484</v>
      </c>
      <c r="K74" s="43">
        <v>5.96131868131868</v>
      </c>
      <c r="L74" s="39">
        <f t="shared" si="6"/>
        <v>-0.185519809988365</v>
      </c>
      <c r="M74" s="36" t="s">
        <v>11</v>
      </c>
      <c r="N74" s="38">
        <v>-1.97598468237163</v>
      </c>
      <c r="O74" s="43">
        <v>0.0129068192081867</v>
      </c>
      <c r="P74" s="36">
        <f t="shared" si="7"/>
        <v>-0.0255036770535168</v>
      </c>
      <c r="Q74" s="41" t="s">
        <v>12</v>
      </c>
      <c r="R74" s="41">
        <v>-5.70086918693902</v>
      </c>
      <c r="S74" s="43">
        <v>0.0572361884690652</v>
      </c>
      <c r="T74" s="39">
        <f t="shared" si="8"/>
        <v>-0.326296023221128</v>
      </c>
      <c r="U74" s="41" t="s">
        <v>13</v>
      </c>
      <c r="V74" s="41">
        <v>0.0672551722181419</v>
      </c>
      <c r="W74" s="43">
        <v>-0.0659340659340659</v>
      </c>
      <c r="X74" s="39">
        <f t="shared" si="9"/>
        <v>-0.00443440695943792</v>
      </c>
      <c r="Y74" s="41" t="s">
        <v>13</v>
      </c>
      <c r="Z74" s="41">
        <v>0.234171070435881</v>
      </c>
      <c r="AA74" s="43">
        <v>-0.372727272727273</v>
      </c>
      <c r="AB74" s="39">
        <f>Z74*AA74</f>
        <v>-0.0872819444351921</v>
      </c>
      <c r="AC74" s="38">
        <v>-0.00567526145561251</v>
      </c>
      <c r="AD74" s="41">
        <v>0.103205114872243</v>
      </c>
      <c r="AE74" s="38">
        <v>-0.0115112098785641</v>
      </c>
      <c r="AF74" s="38">
        <v>-0.00606618416122913</v>
      </c>
      <c r="AG74" s="41">
        <v>0.0154134040243152</v>
      </c>
      <c r="AH74" s="41">
        <v>-0.0872819444351922</v>
      </c>
      <c r="AI74" s="44">
        <v>0.136363636363636</v>
      </c>
      <c r="AJ74" s="39">
        <f>AI74-AC74-AD74-AE74-AF74-AG74-AH74</f>
        <v>0.128279717397676</v>
      </c>
    </row>
    <row r="75" spans="1:36">
      <c r="A75" s="37" t="s">
        <v>39</v>
      </c>
      <c r="B75" s="41"/>
      <c r="C75" s="40" t="s">
        <v>72</v>
      </c>
      <c r="D75" s="38" t="s">
        <v>14</v>
      </c>
      <c r="E75" s="38" t="s">
        <v>9</v>
      </c>
      <c r="F75" s="38">
        <v>-0.0543209824872511</v>
      </c>
      <c r="G75" s="43">
        <v>0.696172161172188</v>
      </c>
      <c r="H75" s="36">
        <f t="shared" si="5"/>
        <v>-0.0378167557751462</v>
      </c>
      <c r="I75" s="38" t="s">
        <v>10</v>
      </c>
      <c r="J75" s="38">
        <v>0.0148109233054802</v>
      </c>
      <c r="K75" s="43">
        <v>4.43494505494505</v>
      </c>
      <c r="L75" s="39">
        <f t="shared" si="6"/>
        <v>0.0656856310728098</v>
      </c>
      <c r="M75" s="36" t="s">
        <v>11</v>
      </c>
      <c r="N75" s="38">
        <v>-4.34367998571431</v>
      </c>
      <c r="O75" s="43">
        <v>0.0108167508167508</v>
      </c>
      <c r="P75" s="36">
        <f t="shared" si="7"/>
        <v>-0.0469845040331794</v>
      </c>
      <c r="Q75" s="41" t="s">
        <v>12</v>
      </c>
      <c r="R75" s="41">
        <v>-0.726364157087876</v>
      </c>
      <c r="S75" s="43">
        <v>-0.0497029997029997</v>
      </c>
      <c r="T75" s="39">
        <f t="shared" si="8"/>
        <v>0.0361024774840083</v>
      </c>
      <c r="U75" s="41" t="s">
        <v>13</v>
      </c>
      <c r="V75" s="41">
        <v>0.0672551722181419</v>
      </c>
      <c r="W75" s="43">
        <v>-0.0659340659340659</v>
      </c>
      <c r="X75" s="39">
        <f t="shared" si="9"/>
        <v>-0.00443440695943792</v>
      </c>
      <c r="Y75" s="41" t="s">
        <v>13</v>
      </c>
      <c r="Z75" s="41">
        <v>0.0893304946834382</v>
      </c>
      <c r="AA75" s="43">
        <v>-0.372727272727273</v>
      </c>
      <c r="AB75" s="39">
        <f>Z75*AA75</f>
        <v>-0.0332959116547361</v>
      </c>
      <c r="AC75" s="38">
        <v>-0.0385583792095659</v>
      </c>
      <c r="AD75" s="41">
        <v>0.184975784585699</v>
      </c>
      <c r="AE75" s="38">
        <v>0.292691147865675</v>
      </c>
      <c r="AF75" s="38">
        <v>-0.0815268596066379</v>
      </c>
      <c r="AG75" s="41">
        <v>0.0330905157201579</v>
      </c>
      <c r="AH75" s="41">
        <v>-0.0332959116547361</v>
      </c>
      <c r="AI75" s="44">
        <v>0.136363636363636</v>
      </c>
      <c r="AJ75" s="39">
        <f>AI75-AC75-AD75-AE75-AF75-AG75-AH75</f>
        <v>-0.221012661336956</v>
      </c>
    </row>
    <row r="76" spans="1:36">
      <c r="A76" s="37" t="s">
        <v>39</v>
      </c>
      <c r="B76" s="41"/>
      <c r="C76" s="40" t="s">
        <v>72</v>
      </c>
      <c r="D76" s="38" t="s">
        <v>15</v>
      </c>
      <c r="E76" s="38" t="s">
        <v>9</v>
      </c>
      <c r="F76" s="38">
        <v>0.0579077667828378</v>
      </c>
      <c r="G76" s="43">
        <v>-0.0933468515611273</v>
      </c>
      <c r="H76" s="36">
        <f t="shared" si="5"/>
        <v>-0.00540550771011394</v>
      </c>
      <c r="I76" s="38" t="s">
        <v>10</v>
      </c>
      <c r="J76" s="38">
        <v>-0.017263415603295</v>
      </c>
      <c r="K76" s="43">
        <v>9.15450549450549</v>
      </c>
      <c r="L76" s="39">
        <f t="shared" si="6"/>
        <v>-0.158038032994296</v>
      </c>
      <c r="M76" s="36" t="s">
        <v>11</v>
      </c>
      <c r="N76" s="38">
        <v>-0.0243394559975401</v>
      </c>
      <c r="O76" s="43">
        <v>0.0120472678006898</v>
      </c>
      <c r="P76" s="36">
        <f t="shared" si="7"/>
        <v>-0.000293223944525471</v>
      </c>
      <c r="Q76" s="41" t="s">
        <v>12</v>
      </c>
      <c r="R76" s="41">
        <v>-15.1275652257682</v>
      </c>
      <c r="S76" s="43">
        <v>0.00624416679211238</v>
      </c>
      <c r="T76" s="39">
        <f t="shared" si="8"/>
        <v>-0.0944590404282558</v>
      </c>
      <c r="U76" s="41" t="s">
        <v>13</v>
      </c>
      <c r="V76" s="41">
        <v>0.023179285290363</v>
      </c>
      <c r="W76" s="43">
        <v>-0.0659340659340659</v>
      </c>
      <c r="X76" s="39">
        <f t="shared" si="9"/>
        <v>-0.00152830452463932</v>
      </c>
      <c r="Y76" s="41" t="s">
        <v>13</v>
      </c>
      <c r="Z76" s="41">
        <v>0.344731272983094</v>
      </c>
      <c r="AA76" s="43">
        <v>-0.372727272727273</v>
      </c>
      <c r="AB76" s="39">
        <f>Z76*AA76</f>
        <v>-0.12849074720279</v>
      </c>
      <c r="AC76" s="38">
        <v>0.00574771651899256</v>
      </c>
      <c r="AD76" s="41">
        <v>0.279516252466967</v>
      </c>
      <c r="AE76" s="38">
        <v>0.0934871570370716</v>
      </c>
      <c r="AF76" s="38">
        <v>-0.055072103411782</v>
      </c>
      <c r="AG76" s="41">
        <v>-0.0126447290245461</v>
      </c>
      <c r="AH76" s="41">
        <v>-0.12849074720279</v>
      </c>
      <c r="AI76" s="44">
        <v>0.136363636363636</v>
      </c>
      <c r="AJ76" s="39">
        <f>AI76-AC76-AD76-AE76-AF76-AG76-AH76</f>
        <v>-0.046179910020277</v>
      </c>
    </row>
    <row r="77" spans="1:36">
      <c r="A77" s="37" t="s">
        <v>40</v>
      </c>
      <c r="B77" s="41"/>
      <c r="C77" s="40" t="s">
        <v>72</v>
      </c>
      <c r="D77" s="38" t="s">
        <v>8</v>
      </c>
      <c r="E77" s="38" t="s">
        <v>9</v>
      </c>
      <c r="F77" s="38">
        <v>0.068086589777618</v>
      </c>
      <c r="G77" s="43">
        <v>-0.69166339612767</v>
      </c>
      <c r="H77" s="36">
        <f t="shared" si="5"/>
        <v>-0.0470930019163388</v>
      </c>
      <c r="I77" s="38" t="s">
        <v>10</v>
      </c>
      <c r="J77" s="38">
        <v>0.287311284282486</v>
      </c>
      <c r="K77" s="43">
        <v>6.5832967032967</v>
      </c>
      <c r="L77" s="39">
        <f t="shared" si="6"/>
        <v>1.89145543063683</v>
      </c>
      <c r="M77" s="36" t="s">
        <v>11</v>
      </c>
      <c r="N77" s="38">
        <v>-15.4111865243824</v>
      </c>
      <c r="O77" s="43">
        <v>-0.00595904095904018</v>
      </c>
      <c r="P77" s="36">
        <f t="shared" si="7"/>
        <v>0.0918358917262028</v>
      </c>
      <c r="Q77" s="41" t="s">
        <v>12</v>
      </c>
      <c r="R77" s="41">
        <v>12.326782187101</v>
      </c>
      <c r="S77" s="43">
        <v>0.0278421578421576</v>
      </c>
      <c r="T77" s="39">
        <f t="shared" si="8"/>
        <v>0.343204215339163</v>
      </c>
      <c r="U77" s="41" t="s">
        <v>13</v>
      </c>
      <c r="V77" s="41">
        <v>0.00124377331813877</v>
      </c>
      <c r="W77" s="43">
        <v>-0.573626373626374</v>
      </c>
      <c r="X77" s="39">
        <f t="shared" si="9"/>
        <v>-0.000713461178097185</v>
      </c>
      <c r="Y77" s="41" t="s">
        <v>13</v>
      </c>
      <c r="Z77" s="41">
        <v>0.246889677381682</v>
      </c>
      <c r="AA77" s="43">
        <v>0.209090909090909</v>
      </c>
      <c r="AB77" s="39">
        <f>Z77*AA77</f>
        <v>0.0516223870888971</v>
      </c>
      <c r="AC77" s="38">
        <v>0.0456228746424455</v>
      </c>
      <c r="AD77" s="41">
        <v>0.0741771263751749</v>
      </c>
      <c r="AE77" s="38">
        <v>-0.0494732114976325</v>
      </c>
      <c r="AF77" s="38">
        <v>-0.00304005303084558</v>
      </c>
      <c r="AG77" s="41">
        <v>0.147265355888238</v>
      </c>
      <c r="AH77" s="41">
        <v>0.0516223870888972</v>
      </c>
      <c r="AI77" s="44">
        <v>1.48181818181818</v>
      </c>
      <c r="AJ77" s="39">
        <f>AI77-AC77-AD77-AE77-AF77-AG77-AH77</f>
        <v>1.2156437023519</v>
      </c>
    </row>
    <row r="78" spans="1:36">
      <c r="A78" s="37" t="s">
        <v>40</v>
      </c>
      <c r="B78" s="41"/>
      <c r="C78" s="40" t="s">
        <v>72</v>
      </c>
      <c r="D78" s="38" t="s">
        <v>14</v>
      </c>
      <c r="E78" s="38" t="s">
        <v>9</v>
      </c>
      <c r="F78" s="38">
        <v>-0.013995210340003</v>
      </c>
      <c r="G78" s="43">
        <v>0.696172161172188</v>
      </c>
      <c r="H78" s="36">
        <f t="shared" si="5"/>
        <v>-0.00974307582845924</v>
      </c>
      <c r="I78" s="38" t="s">
        <v>10</v>
      </c>
      <c r="J78" s="38">
        <v>0.078720543100921</v>
      </c>
      <c r="K78" s="43">
        <v>3.24989010989011</v>
      </c>
      <c r="L78" s="39">
        <f t="shared" si="6"/>
        <v>0.255833114468861</v>
      </c>
      <c r="M78" s="36" t="s">
        <v>11</v>
      </c>
      <c r="N78" s="38">
        <v>5.40614706549909</v>
      </c>
      <c r="O78" s="43">
        <v>0.0386638361638387</v>
      </c>
      <c r="P78" s="36">
        <f t="shared" si="7"/>
        <v>0.209022384418074</v>
      </c>
      <c r="Q78" s="41" t="s">
        <v>12</v>
      </c>
      <c r="R78" s="41">
        <v>-4.60890736823754</v>
      </c>
      <c r="S78" s="43">
        <v>-0.0261263736263736</v>
      </c>
      <c r="T78" s="39">
        <f t="shared" si="8"/>
        <v>0.12041403591192</v>
      </c>
      <c r="U78" s="41" t="s">
        <v>13</v>
      </c>
      <c r="V78" s="41">
        <v>0.00124377331813877</v>
      </c>
      <c r="W78" s="43">
        <v>-0.573626373626374</v>
      </c>
      <c r="X78" s="39">
        <f t="shared" si="9"/>
        <v>-0.000713461178097185</v>
      </c>
      <c r="Y78" s="41" t="s">
        <v>13</v>
      </c>
      <c r="Z78" s="41">
        <v>0.189746841488409</v>
      </c>
      <c r="AA78" s="43">
        <v>0.209090909090909</v>
      </c>
      <c r="AB78" s="39">
        <f>Z78*AA78</f>
        <v>0.03967433958394</v>
      </c>
      <c r="AC78" s="38">
        <v>0.179945531000891</v>
      </c>
      <c r="AD78" s="41">
        <v>0.859182179940795</v>
      </c>
      <c r="AE78" s="38">
        <v>0.706720566176037</v>
      </c>
      <c r="AF78" s="38">
        <v>-0.19120449059542</v>
      </c>
      <c r="AG78" s="41">
        <v>0.0539961385789543</v>
      </c>
      <c r="AH78" s="41">
        <v>0.03967433958394</v>
      </c>
      <c r="AI78" s="44">
        <v>1.48181818181818</v>
      </c>
      <c r="AJ78" s="39">
        <f>AI78-AC78-AD78-AE78-AF78-AG78-AH78</f>
        <v>-0.166496082867017</v>
      </c>
    </row>
    <row r="79" spans="1:36">
      <c r="A79" s="37" t="s">
        <v>40</v>
      </c>
      <c r="B79" s="41"/>
      <c r="C79" s="40" t="s">
        <v>72</v>
      </c>
      <c r="D79" s="38" t="s">
        <v>15</v>
      </c>
      <c r="E79" s="38" t="s">
        <v>9</v>
      </c>
      <c r="F79" s="38">
        <v>-0.21160415250492</v>
      </c>
      <c r="G79" s="43">
        <v>-0.0933468515611273</v>
      </c>
      <c r="H79" s="36">
        <f t="shared" si="5"/>
        <v>0.0197525814135949</v>
      </c>
      <c r="I79" s="38" t="s">
        <v>10</v>
      </c>
      <c r="J79" s="38">
        <v>0.180618106480851</v>
      </c>
      <c r="K79" s="43">
        <v>10.0692307692308</v>
      </c>
      <c r="L79" s="39">
        <f t="shared" si="6"/>
        <v>1.81868539525719</v>
      </c>
      <c r="M79" s="36" t="s">
        <v>11</v>
      </c>
      <c r="N79" s="38">
        <v>8.07262894174472</v>
      </c>
      <c r="O79" s="43">
        <v>0.0163729984301423</v>
      </c>
      <c r="P79" s="36">
        <f t="shared" si="7"/>
        <v>0.132173140990308</v>
      </c>
      <c r="Q79" s="41" t="s">
        <v>12</v>
      </c>
      <c r="R79" s="41">
        <v>8.01336297542287</v>
      </c>
      <c r="S79" s="43">
        <v>0.00277174254317122</v>
      </c>
      <c r="T79" s="39">
        <f t="shared" si="8"/>
        <v>0.0222109790728527</v>
      </c>
      <c r="U79" s="41" t="s">
        <v>13</v>
      </c>
      <c r="V79" s="41">
        <v>-0.889609683949088</v>
      </c>
      <c r="W79" s="43">
        <v>-0.573626373626374</v>
      </c>
      <c r="X79" s="39">
        <f t="shared" si="9"/>
        <v>0.51030357694662</v>
      </c>
      <c r="Y79" s="41" t="s">
        <v>13</v>
      </c>
      <c r="Z79" s="41">
        <v>0.499667546127348</v>
      </c>
      <c r="AA79" s="43">
        <v>0.209090909090909</v>
      </c>
      <c r="AB79" s="39">
        <f>Z79*AA79</f>
        <v>0.104475941462991</v>
      </c>
      <c r="AC79" s="38">
        <v>0.0362396514542117</v>
      </c>
      <c r="AD79" s="41">
        <v>1.05971408597885</v>
      </c>
      <c r="AE79" s="38">
        <v>0.269806015587973</v>
      </c>
      <c r="AF79" s="38">
        <v>-0.102985332255886</v>
      </c>
      <c r="AG79" s="41">
        <v>-0.015089073495541</v>
      </c>
      <c r="AH79" s="41">
        <v>0.104475941462991</v>
      </c>
      <c r="AI79" s="44">
        <v>1.48181818181818</v>
      </c>
      <c r="AJ79" s="39">
        <f>AI79-AC79-AD79-AE79-AF79-AG79-AH79</f>
        <v>0.129656893085581</v>
      </c>
    </row>
    <row r="80" spans="1:36">
      <c r="A80" s="37" t="s">
        <v>41</v>
      </c>
      <c r="B80" s="41"/>
      <c r="C80" s="40" t="s">
        <v>72</v>
      </c>
      <c r="D80" s="38" t="s">
        <v>8</v>
      </c>
      <c r="E80" s="38" t="s">
        <v>9</v>
      </c>
      <c r="F80" s="38">
        <v>0.120743431591638</v>
      </c>
      <c r="G80" s="43">
        <v>-0.69166339612767</v>
      </c>
      <c r="H80" s="36">
        <f t="shared" si="5"/>
        <v>-0.0835138119547813</v>
      </c>
      <c r="I80" s="38" t="s">
        <v>10</v>
      </c>
      <c r="J80" s="38">
        <v>-0.0401247917642579</v>
      </c>
      <c r="K80" s="43">
        <v>5.53978021978022</v>
      </c>
      <c r="L80" s="39">
        <f t="shared" si="6"/>
        <v>-0.222282527738436</v>
      </c>
      <c r="M80" s="36" t="s">
        <v>11</v>
      </c>
      <c r="N80" s="38">
        <v>-1.44097902954931</v>
      </c>
      <c r="O80" s="43">
        <v>0.0100202429149778</v>
      </c>
      <c r="P80" s="36">
        <f t="shared" si="7"/>
        <v>-0.0144389599114731</v>
      </c>
      <c r="Q80" s="41" t="s">
        <v>12</v>
      </c>
      <c r="R80" s="41">
        <v>-10.0416488407117</v>
      </c>
      <c r="S80" s="43">
        <v>0.0515471370734531</v>
      </c>
      <c r="T80" s="39">
        <f t="shared" si="8"/>
        <v>-0.517618249235647</v>
      </c>
      <c r="U80" s="41" t="s">
        <v>13</v>
      </c>
      <c r="V80" s="41">
        <v>0.387783391718155</v>
      </c>
      <c r="W80" s="43">
        <v>0.0395604395604396</v>
      </c>
      <c r="X80" s="39">
        <f t="shared" si="9"/>
        <v>0.0153408814306083</v>
      </c>
      <c r="Y80" s="41" t="s">
        <v>13</v>
      </c>
      <c r="Z80" s="41">
        <v>0.362772073270444</v>
      </c>
      <c r="AA80" s="43">
        <v>0.263636363636364</v>
      </c>
      <c r="AB80" s="39">
        <f>Z80*AA80</f>
        <v>0.0956399102258444</v>
      </c>
      <c r="AC80" s="38">
        <v>-0.00334547657851953</v>
      </c>
      <c r="AD80" s="41">
        <v>0.0212602494201176</v>
      </c>
      <c r="AE80" s="38">
        <v>-0.00184072232958221</v>
      </c>
      <c r="AF80" s="38">
        <v>-0.0080951831243888</v>
      </c>
      <c r="AG80" s="41">
        <v>0.00297854260175373</v>
      </c>
      <c r="AH80" s="41">
        <v>0.0956399102258443</v>
      </c>
      <c r="AI80" s="44">
        <v>-0.0727272727272728</v>
      </c>
      <c r="AJ80" s="39">
        <f>AI80-AC80-AD80-AE80-AF80-AG80-AH80</f>
        <v>-0.179324592942498</v>
      </c>
    </row>
    <row r="81" spans="1:36">
      <c r="A81" s="37" t="s">
        <v>41</v>
      </c>
      <c r="B81" s="41"/>
      <c r="C81" s="40" t="s">
        <v>72</v>
      </c>
      <c r="D81" s="38" t="s">
        <v>14</v>
      </c>
      <c r="E81" s="38" t="s">
        <v>9</v>
      </c>
      <c r="F81" s="38">
        <v>-0.169582093738209</v>
      </c>
      <c r="G81" s="43">
        <v>0.696172161172188</v>
      </c>
      <c r="H81" s="36">
        <f t="shared" si="5"/>
        <v>-0.118058332693834</v>
      </c>
      <c r="I81" s="38" t="s">
        <v>10</v>
      </c>
      <c r="J81" s="38">
        <v>0.0811432734580252</v>
      </c>
      <c r="K81" s="43">
        <v>3.20747252747253</v>
      </c>
      <c r="L81" s="39">
        <f t="shared" si="6"/>
        <v>0.260264820405807</v>
      </c>
      <c r="M81" s="36" t="s">
        <v>11</v>
      </c>
      <c r="N81" s="38">
        <v>-7.7864747433168</v>
      </c>
      <c r="O81" s="43">
        <v>0.0187998843262</v>
      </c>
      <c r="P81" s="36">
        <f t="shared" si="7"/>
        <v>-0.146384824483234</v>
      </c>
      <c r="Q81" s="41" t="s">
        <v>12</v>
      </c>
      <c r="R81" s="41">
        <v>3.10675127792257</v>
      </c>
      <c r="S81" s="43">
        <v>-0.0352978600347023</v>
      </c>
      <c r="T81" s="39">
        <f t="shared" si="8"/>
        <v>-0.109661671770743</v>
      </c>
      <c r="U81" s="41" t="s">
        <v>13</v>
      </c>
      <c r="V81" s="41">
        <v>0.387783391718155</v>
      </c>
      <c r="W81" s="43">
        <v>0.0395604395604396</v>
      </c>
      <c r="X81" s="39">
        <f t="shared" si="9"/>
        <v>0.0153408814306083</v>
      </c>
      <c r="Y81" s="41" t="s">
        <v>13</v>
      </c>
      <c r="Z81" s="41">
        <v>0.141763064945316</v>
      </c>
      <c r="AA81" s="43">
        <v>0.263636363636364</v>
      </c>
      <c r="AB81" s="39">
        <f>Z81*AA81</f>
        <v>0.0373738989401288</v>
      </c>
      <c r="AC81" s="38">
        <v>-0.10793964506561</v>
      </c>
      <c r="AD81" s="41">
        <v>0.225937752965595</v>
      </c>
      <c r="AE81" s="38">
        <v>0.056307013302777</v>
      </c>
      <c r="AF81" s="38">
        <v>-0.034686177514217</v>
      </c>
      <c r="AG81" s="41">
        <v>0.00639456907722045</v>
      </c>
      <c r="AH81" s="41">
        <v>0.0373738989401287</v>
      </c>
      <c r="AI81" s="44">
        <v>-0.0727272727272728</v>
      </c>
      <c r="AJ81" s="39">
        <f>AI81-AC81-AD81-AE81-AF81-AG81-AH81</f>
        <v>-0.256114684433167</v>
      </c>
    </row>
    <row r="82" spans="1:36">
      <c r="A82" s="37" t="s">
        <v>41</v>
      </c>
      <c r="B82" s="41"/>
      <c r="C82" s="40" t="s">
        <v>72</v>
      </c>
      <c r="D82" s="38" t="s">
        <v>15</v>
      </c>
      <c r="E82" s="38" t="s">
        <v>9</v>
      </c>
      <c r="F82" s="38">
        <v>0.0489054505918195</v>
      </c>
      <c r="G82" s="43">
        <v>-0.0933468515611273</v>
      </c>
      <c r="H82" s="36">
        <f t="shared" si="5"/>
        <v>-0.00456516983692462</v>
      </c>
      <c r="I82" s="38" t="s">
        <v>10</v>
      </c>
      <c r="J82" s="38">
        <v>-0.0470548744652126</v>
      </c>
      <c r="K82" s="43">
        <v>9.15076923076923</v>
      </c>
      <c r="L82" s="39">
        <f t="shared" si="6"/>
        <v>-0.430588297413976</v>
      </c>
      <c r="M82" s="36" t="s">
        <v>11</v>
      </c>
      <c r="N82" s="38">
        <v>-3.48450868535818</v>
      </c>
      <c r="O82" s="43">
        <v>0.0149712539116519</v>
      </c>
      <c r="P82" s="36">
        <f t="shared" si="7"/>
        <v>-0.0521674642858537</v>
      </c>
      <c r="Q82" s="41" t="s">
        <v>12</v>
      </c>
      <c r="R82" s="41">
        <v>-18.50936655306</v>
      </c>
      <c r="S82" s="43">
        <v>0.0105159740921334</v>
      </c>
      <c r="T82" s="39">
        <f t="shared" si="8"/>
        <v>-0.194644019133779</v>
      </c>
      <c r="U82" s="41" t="s">
        <v>13</v>
      </c>
      <c r="V82" s="41">
        <v>-0.265887124422496</v>
      </c>
      <c r="W82" s="43">
        <v>0.0395604395604396</v>
      </c>
      <c r="X82" s="39">
        <f t="shared" si="9"/>
        <v>-0.0105186115156152</v>
      </c>
      <c r="Y82" s="41" t="s">
        <v>13</v>
      </c>
      <c r="Z82" s="41">
        <v>0.367507167977888</v>
      </c>
      <c r="AA82" s="43">
        <v>0.263636363636364</v>
      </c>
      <c r="AB82" s="39">
        <f>Z82*AA82</f>
        <v>0.0968882533759888</v>
      </c>
      <c r="AC82" s="38">
        <v>0.0042873634532763</v>
      </c>
      <c r="AD82" s="41">
        <v>0.0694149615517487</v>
      </c>
      <c r="AE82" s="38">
        <v>-0.01957328004138</v>
      </c>
      <c r="AF82" s="38">
        <v>-0.0278626988609709</v>
      </c>
      <c r="AG82" s="41">
        <v>-0.00238756211684312</v>
      </c>
      <c r="AH82" s="41">
        <v>0.0968882533759886</v>
      </c>
      <c r="AI82" s="44">
        <v>-0.0727272727272728</v>
      </c>
      <c r="AJ82" s="39">
        <f>AI82-AC82-AD82-AE82-AF82-AG82-AH82</f>
        <v>-0.193494310089092</v>
      </c>
    </row>
    <row r="83" spans="1:36">
      <c r="A83" s="37" t="s">
        <v>42</v>
      </c>
      <c r="B83" s="41"/>
      <c r="C83" s="40" t="s">
        <v>72</v>
      </c>
      <c r="D83" s="38" t="s">
        <v>8</v>
      </c>
      <c r="E83" s="38" t="s">
        <v>9</v>
      </c>
      <c r="F83" s="38">
        <v>0.338065725193971</v>
      </c>
      <c r="G83" s="43">
        <v>-0.69166339612767</v>
      </c>
      <c r="H83" s="36">
        <f t="shared" si="5"/>
        <v>-0.233827687602026</v>
      </c>
      <c r="I83" s="38" t="s">
        <v>10</v>
      </c>
      <c r="J83" s="38">
        <v>-0.151084288273394</v>
      </c>
      <c r="K83" s="43">
        <v>6.49648351648352</v>
      </c>
      <c r="L83" s="39">
        <f t="shared" si="6"/>
        <v>-0.981516588367749</v>
      </c>
      <c r="M83" s="36" t="s">
        <v>11</v>
      </c>
      <c r="N83" s="38">
        <v>-18.0215147515349</v>
      </c>
      <c r="O83" s="43">
        <v>-0.00390109890109761</v>
      </c>
      <c r="P83" s="36">
        <f t="shared" si="7"/>
        <v>0.0703037113933272</v>
      </c>
      <c r="Q83" s="41" t="s">
        <v>12</v>
      </c>
      <c r="R83" s="41">
        <v>-2.52617007064342</v>
      </c>
      <c r="S83" s="43">
        <v>0.0310177917320776</v>
      </c>
      <c r="T83" s="39">
        <f t="shared" si="8"/>
        <v>-0.0783562171310254</v>
      </c>
      <c r="U83" s="41" t="s">
        <v>13</v>
      </c>
      <c r="V83" s="41">
        <v>-0.804390882519724</v>
      </c>
      <c r="W83" s="43">
        <v>-0.505494505494505</v>
      </c>
      <c r="X83" s="39">
        <f t="shared" si="9"/>
        <v>0.406615171383596</v>
      </c>
      <c r="Y83" s="41" t="s">
        <v>13</v>
      </c>
      <c r="Z83" s="41">
        <v>-1.41456642864323</v>
      </c>
      <c r="AA83" s="43">
        <v>0.745454545454546</v>
      </c>
      <c r="AB83" s="39">
        <f>Z83*AA83</f>
        <v>-1.0544949740795</v>
      </c>
      <c r="AC83" s="38">
        <v>0.0273050527728514</v>
      </c>
      <c r="AD83" s="41">
        <v>-0.0850607320002818</v>
      </c>
      <c r="AE83" s="38">
        <v>-0.0317383002313671</v>
      </c>
      <c r="AF83" s="38">
        <v>-0.0443669477879571</v>
      </c>
      <c r="AG83" s="41">
        <v>0.0677129212604304</v>
      </c>
      <c r="AH83" s="41">
        <v>-1.0544949740795</v>
      </c>
      <c r="AI83" s="44">
        <v>-2.48181818181818</v>
      </c>
      <c r="AJ83" s="39">
        <f>AI83-AC83-AD83-AE83-AF83-AG83-AH83</f>
        <v>-1.36117520175236</v>
      </c>
    </row>
    <row r="84" spans="1:36">
      <c r="A84" s="37" t="s">
        <v>42</v>
      </c>
      <c r="B84" s="41"/>
      <c r="C84" s="40" t="s">
        <v>72</v>
      </c>
      <c r="D84" s="38" t="s">
        <v>14</v>
      </c>
      <c r="E84" s="38" t="s">
        <v>9</v>
      </c>
      <c r="F84" s="38">
        <v>-0.274017924686746</v>
      </c>
      <c r="G84" s="43">
        <v>0.696172161172188</v>
      </c>
      <c r="H84" s="36">
        <f t="shared" si="5"/>
        <v>-0.19076365082909</v>
      </c>
      <c r="I84" s="38" t="s">
        <v>10</v>
      </c>
      <c r="J84" s="38">
        <v>0.0926299881978107</v>
      </c>
      <c r="K84" s="43">
        <v>3.83164835164835</v>
      </c>
      <c r="L84" s="39">
        <f t="shared" si="6"/>
        <v>0.354925541591347</v>
      </c>
      <c r="M84" s="36" t="s">
        <v>11</v>
      </c>
      <c r="N84" s="38">
        <v>-2.65918999667493</v>
      </c>
      <c r="O84" s="43">
        <v>0.039007110536521</v>
      </c>
      <c r="P84" s="36">
        <f t="shared" si="7"/>
        <v>-0.10372731813791</v>
      </c>
      <c r="Q84" s="41" t="s">
        <v>12</v>
      </c>
      <c r="R84" s="41">
        <v>-3.21315867350162</v>
      </c>
      <c r="S84" s="43">
        <v>-0.0304201680672273</v>
      </c>
      <c r="T84" s="39">
        <f t="shared" si="8"/>
        <v>0.0977448268745884</v>
      </c>
      <c r="U84" s="41" t="s">
        <v>13</v>
      </c>
      <c r="V84" s="41">
        <v>-0.804390882519724</v>
      </c>
      <c r="W84" s="43">
        <v>-0.505494505494505</v>
      </c>
      <c r="X84" s="39">
        <f t="shared" si="9"/>
        <v>0.406615171383596</v>
      </c>
      <c r="Y84" s="41" t="s">
        <v>13</v>
      </c>
      <c r="Z84" s="41">
        <v>-1.08472709227931</v>
      </c>
      <c r="AA84" s="43">
        <v>0.745454545454546</v>
      </c>
      <c r="AB84" s="39">
        <f>Z84*AA84</f>
        <v>-0.808614741517304</v>
      </c>
      <c r="AC84" s="38">
        <v>-0.628954192666682</v>
      </c>
      <c r="AD84" s="41">
        <v>0.399461971789832</v>
      </c>
      <c r="AE84" s="38">
        <v>-0.325032153268085</v>
      </c>
      <c r="AF84" s="38">
        <v>0.147375515489352</v>
      </c>
      <c r="AG84" s="41">
        <v>-0.0152592571554655</v>
      </c>
      <c r="AH84" s="41">
        <v>-0.808614741517308</v>
      </c>
      <c r="AI84" s="44">
        <v>-2.48181818181818</v>
      </c>
      <c r="AJ84" s="39">
        <f>AI84-AC84-AD84-AE84-AF84-AG84-AH84</f>
        <v>-1.25079532448982</v>
      </c>
    </row>
    <row r="85" spans="1:36">
      <c r="A85" s="37" t="s">
        <v>42</v>
      </c>
      <c r="B85" s="41"/>
      <c r="C85" s="40" t="s">
        <v>72</v>
      </c>
      <c r="D85" s="38" t="s">
        <v>15</v>
      </c>
      <c r="E85" s="38" t="s">
        <v>9</v>
      </c>
      <c r="F85" s="38">
        <v>0.292840680013642</v>
      </c>
      <c r="G85" s="43">
        <v>-0.0933468515611273</v>
      </c>
      <c r="H85" s="36">
        <f t="shared" si="5"/>
        <v>-0.027335755488293</v>
      </c>
      <c r="I85" s="38" t="s">
        <v>10</v>
      </c>
      <c r="J85" s="38">
        <v>-0.0589802338083962</v>
      </c>
      <c r="K85" s="43">
        <v>10.4784615384615</v>
      </c>
      <c r="L85" s="39">
        <f t="shared" si="6"/>
        <v>-0.618022111490746</v>
      </c>
      <c r="M85" s="36" t="s">
        <v>11</v>
      </c>
      <c r="N85" s="38">
        <v>-16.0025591124328</v>
      </c>
      <c r="O85" s="43">
        <v>0.0176923076923072</v>
      </c>
      <c r="P85" s="36">
        <f t="shared" si="7"/>
        <v>-0.283122199681495</v>
      </c>
      <c r="Q85" s="41" t="s">
        <v>12</v>
      </c>
      <c r="R85" s="41">
        <v>-6.7557672774701</v>
      </c>
      <c r="S85" s="43">
        <v>0.000245944531658588</v>
      </c>
      <c r="T85" s="39">
        <f t="shared" si="8"/>
        <v>-0.0016615440190518</v>
      </c>
      <c r="U85" s="41" t="s">
        <v>13</v>
      </c>
      <c r="V85" s="41">
        <v>-0.215771220277883</v>
      </c>
      <c r="W85" s="43">
        <v>-0.505494505494505</v>
      </c>
      <c r="X85" s="39">
        <f t="shared" si="9"/>
        <v>0.109071166294314</v>
      </c>
      <c r="Y85" s="41" t="s">
        <v>13</v>
      </c>
      <c r="Z85" s="41">
        <v>-0.812813102602281</v>
      </c>
      <c r="AA85" s="43">
        <v>0.745454545454546</v>
      </c>
      <c r="AB85" s="39">
        <f>Z85*AA85</f>
        <v>-0.605915221939883</v>
      </c>
      <c r="AC85" s="38">
        <v>0.0733807524627141</v>
      </c>
      <c r="AD85" s="41">
        <v>-0.0556433021860786</v>
      </c>
      <c r="AE85" s="38">
        <v>-0.158722172899193</v>
      </c>
      <c r="AF85" s="38">
        <v>-0.0636798219291931</v>
      </c>
      <c r="AG85" s="41">
        <v>-0.0146227341574383</v>
      </c>
      <c r="AH85" s="41">
        <v>-0.605915221939883</v>
      </c>
      <c r="AI85" s="44">
        <v>-2.48181818181818</v>
      </c>
      <c r="AJ85" s="39">
        <f>AI85-AC85-AD85-AE85-AF85-AG85-AH85</f>
        <v>-1.65661568116911</v>
      </c>
    </row>
    <row r="86" spans="1:36">
      <c r="A86" s="37" t="s">
        <v>43</v>
      </c>
      <c r="B86" s="41"/>
      <c r="C86" s="40" t="s">
        <v>72</v>
      </c>
      <c r="D86" s="38" t="s">
        <v>8</v>
      </c>
      <c r="E86" s="38" t="s">
        <v>9</v>
      </c>
      <c r="F86" s="38">
        <v>-0.173429279945601</v>
      </c>
      <c r="G86" s="43">
        <v>-0.69166339612767</v>
      </c>
      <c r="H86" s="36">
        <f t="shared" si="5"/>
        <v>0.119954684755151</v>
      </c>
      <c r="I86" s="38" t="s">
        <v>10</v>
      </c>
      <c r="J86" s="38">
        <v>0.29406780346375</v>
      </c>
      <c r="K86" s="43">
        <v>6.49648351648352</v>
      </c>
      <c r="L86" s="39">
        <f t="shared" si="6"/>
        <v>1.91040663793077</v>
      </c>
      <c r="M86" s="36" t="s">
        <v>11</v>
      </c>
      <c r="N86" s="38">
        <v>1.73572490291867</v>
      </c>
      <c r="O86" s="43">
        <v>-0.00390109890109761</v>
      </c>
      <c r="P86" s="36">
        <f t="shared" si="7"/>
        <v>-0.00677123451138378</v>
      </c>
      <c r="Q86" s="41" t="s">
        <v>12</v>
      </c>
      <c r="R86" s="41">
        <v>9.97743030100326</v>
      </c>
      <c r="S86" s="57" t="s">
        <v>74</v>
      </c>
      <c r="T86" s="39">
        <f t="shared" si="8"/>
        <v>0.309477855097839</v>
      </c>
      <c r="U86" s="41" t="s">
        <v>13</v>
      </c>
      <c r="V86" s="41">
        <v>0.129111116160737</v>
      </c>
      <c r="W86" s="43">
        <v>-0.254945054945055</v>
      </c>
      <c r="X86" s="39">
        <f t="shared" si="9"/>
        <v>-0.0329162406036165</v>
      </c>
      <c r="Y86" s="41" t="s">
        <v>13</v>
      </c>
      <c r="Z86" s="41">
        <v>2.33277696984434</v>
      </c>
      <c r="AA86" s="43">
        <v>0.818181818181819</v>
      </c>
      <c r="AB86" s="39">
        <f>Z86*AA86</f>
        <v>1.90863570259992</v>
      </c>
      <c r="AC86" s="38">
        <v>0.00924936438504711</v>
      </c>
      <c r="AD86" s="41">
        <v>0.0352013694407109</v>
      </c>
      <c r="AE86" s="38">
        <v>-0.0154945260058401</v>
      </c>
      <c r="AF86" s="38">
        <v>-0.00241119522469102</v>
      </c>
      <c r="AG86" s="41">
        <v>-0.0326005942327012</v>
      </c>
      <c r="AH86" s="41">
        <v>1.90863570259992</v>
      </c>
      <c r="AI86" s="44">
        <v>3.29090909090909</v>
      </c>
      <c r="AJ86" s="39">
        <f>AI86-AC86-AD86-AE86-AF86-AG86-AH86</f>
        <v>1.38832896994664</v>
      </c>
    </row>
    <row r="87" spans="1:36">
      <c r="A87" s="37" t="s">
        <v>43</v>
      </c>
      <c r="B87" s="41"/>
      <c r="C87" s="40" t="s">
        <v>72</v>
      </c>
      <c r="D87" s="38" t="s">
        <v>14</v>
      </c>
      <c r="E87" s="38" t="s">
        <v>9</v>
      </c>
      <c r="F87" s="38">
        <v>-0.660431385121864</v>
      </c>
      <c r="G87" s="43">
        <v>0.696172161172188</v>
      </c>
      <c r="H87" s="36">
        <f t="shared" si="5"/>
        <v>-0.45977394468623</v>
      </c>
      <c r="I87" s="38" t="s">
        <v>10</v>
      </c>
      <c r="J87" s="38">
        <v>0.224068253376876</v>
      </c>
      <c r="K87" s="43">
        <v>3.83164835164835</v>
      </c>
      <c r="L87" s="39">
        <f t="shared" si="6"/>
        <v>0.858550753708232</v>
      </c>
      <c r="M87" s="36" t="s">
        <v>11</v>
      </c>
      <c r="N87" s="38">
        <v>16.3092943336307</v>
      </c>
      <c r="O87" s="43">
        <v>0.039007110536521</v>
      </c>
      <c r="P87" s="36">
        <f t="shared" si="7"/>
        <v>0.636178446844588</v>
      </c>
      <c r="Q87" s="41" t="s">
        <v>12</v>
      </c>
      <c r="R87" s="41">
        <v>-3.30898835201862</v>
      </c>
      <c r="S87" s="43">
        <v>-0.0304201680672273</v>
      </c>
      <c r="T87" s="39">
        <f t="shared" si="8"/>
        <v>0.100659981800904</v>
      </c>
      <c r="U87" s="41" t="s">
        <v>13</v>
      </c>
      <c r="V87" s="41">
        <v>0.129111116160737</v>
      </c>
      <c r="W87" s="43">
        <v>-0.254945054945055</v>
      </c>
      <c r="X87" s="39">
        <f t="shared" si="9"/>
        <v>-0.0329162406036165</v>
      </c>
      <c r="Y87" s="41" t="s">
        <v>13</v>
      </c>
      <c r="Z87" s="41">
        <v>0.413144710569277</v>
      </c>
      <c r="AA87" s="43">
        <v>0.818181818181819</v>
      </c>
      <c r="AB87" s="39">
        <f>Z87*AA87</f>
        <v>0.338027490465772</v>
      </c>
      <c r="AC87" s="38">
        <v>-0.194142707654253</v>
      </c>
      <c r="AD87" s="41">
        <v>1.88685365957106</v>
      </c>
      <c r="AE87" s="38">
        <v>1.22887233471328</v>
      </c>
      <c r="AF87" s="38">
        <v>-0.289510571995203</v>
      </c>
      <c r="AG87" s="41">
        <v>0.0761378450782156</v>
      </c>
      <c r="AH87" s="41">
        <v>0.338027490465772</v>
      </c>
      <c r="AI87" s="44">
        <v>3.29090909090909</v>
      </c>
      <c r="AJ87" s="39">
        <f>AI87-AC87-AD87-AE87-AF87-AG87-AH87</f>
        <v>0.244671040730218</v>
      </c>
    </row>
    <row r="88" spans="1:36">
      <c r="A88" s="37" t="s">
        <v>43</v>
      </c>
      <c r="B88" s="41"/>
      <c r="C88" s="40" t="s">
        <v>72</v>
      </c>
      <c r="D88" s="38" t="s">
        <v>15</v>
      </c>
      <c r="E88" s="38" t="s">
        <v>9</v>
      </c>
      <c r="F88" s="38">
        <v>-0.688137415391696</v>
      </c>
      <c r="G88" s="43">
        <v>-0.0933468515611273</v>
      </c>
      <c r="H88" s="36">
        <f t="shared" si="5"/>
        <v>0.0642354611682265</v>
      </c>
      <c r="I88" s="38" t="s">
        <v>10</v>
      </c>
      <c r="J88" s="38">
        <v>0.291172365101045</v>
      </c>
      <c r="K88" s="43">
        <v>10.4784615384615</v>
      </c>
      <c r="L88" s="39">
        <f t="shared" si="6"/>
        <v>3.05103842877417</v>
      </c>
      <c r="M88" s="36" t="s">
        <v>11</v>
      </c>
      <c r="N88" s="38">
        <v>33.2071823987073</v>
      </c>
      <c r="O88" s="43">
        <v>0.0176923076923072</v>
      </c>
      <c r="P88" s="36">
        <f t="shared" si="7"/>
        <v>0.587511688592497</v>
      </c>
      <c r="Q88" s="41" t="s">
        <v>12</v>
      </c>
      <c r="R88" s="41">
        <v>-2.6733486698239</v>
      </c>
      <c r="S88" s="43">
        <v>0.000245944531658588</v>
      </c>
      <c r="T88" s="39">
        <f t="shared" si="8"/>
        <v>-0.000657495486559948</v>
      </c>
      <c r="U88" s="41" t="s">
        <v>13</v>
      </c>
      <c r="V88" s="41">
        <v>-0.631490950103686</v>
      </c>
      <c r="W88" s="43">
        <v>-0.254945054945055</v>
      </c>
      <c r="X88" s="39">
        <f t="shared" si="9"/>
        <v>0.160995494971489</v>
      </c>
      <c r="Y88" s="41" t="s">
        <v>13</v>
      </c>
      <c r="Z88" s="41">
        <v>0.761247832533462</v>
      </c>
      <c r="AA88" s="43">
        <v>0.818181818181819</v>
      </c>
      <c r="AB88" s="39">
        <f>Z88*AA88</f>
        <v>0.622839135709197</v>
      </c>
      <c r="AC88" s="38">
        <v>-0.242303984026308</v>
      </c>
      <c r="AD88" s="41">
        <v>1.54695243330982</v>
      </c>
      <c r="AE88" s="38">
        <v>0.678046323896028</v>
      </c>
      <c r="AF88" s="38">
        <v>-0.13652243566154</v>
      </c>
      <c r="AG88" s="41">
        <v>-0.0296674602755289</v>
      </c>
      <c r="AH88" s="41">
        <v>0.622839135709197</v>
      </c>
      <c r="AI88" s="44">
        <v>3.29090909090909</v>
      </c>
      <c r="AJ88" s="39">
        <f>AI88-AC88-AD88-AE88-AF88-AG88-AH88</f>
        <v>0.851565077957422</v>
      </c>
    </row>
    <row r="89" spans="1:36">
      <c r="A89" s="37" t="s">
        <v>44</v>
      </c>
      <c r="B89" s="41"/>
      <c r="C89" s="40" t="s">
        <v>72</v>
      </c>
      <c r="D89" s="38" t="s">
        <v>8</v>
      </c>
      <c r="E89" s="38" t="s">
        <v>9</v>
      </c>
      <c r="F89" s="38">
        <v>0.0358257997670703</v>
      </c>
      <c r="G89" s="43">
        <v>-0.69166339612767</v>
      </c>
      <c r="H89" s="36">
        <f t="shared" si="5"/>
        <v>-0.0247793943358817</v>
      </c>
      <c r="I89" s="38" t="s">
        <v>10</v>
      </c>
      <c r="J89" s="38">
        <v>-0.0632730853683631</v>
      </c>
      <c r="K89" s="43">
        <v>6.49648351648352</v>
      </c>
      <c r="L89" s="39">
        <f t="shared" si="6"/>
        <v>-0.411052556132625</v>
      </c>
      <c r="M89" s="36" t="s">
        <v>11</v>
      </c>
      <c r="N89" s="38">
        <v>-4.07157444624143</v>
      </c>
      <c r="O89" s="43">
        <v>-0.00390109890109761</v>
      </c>
      <c r="P89" s="36">
        <f t="shared" si="7"/>
        <v>0.0158836145979696</v>
      </c>
      <c r="Q89" s="41" t="s">
        <v>12</v>
      </c>
      <c r="R89" s="41">
        <v>-6.96583382035232</v>
      </c>
      <c r="S89" s="43">
        <v>0.0310177917320776</v>
      </c>
      <c r="T89" s="39">
        <f t="shared" si="8"/>
        <v>-0.216064782679951</v>
      </c>
      <c r="U89" s="41" t="s">
        <v>13</v>
      </c>
      <c r="V89" s="41">
        <v>0.311670544344494</v>
      </c>
      <c r="W89" s="43">
        <v>-0.0021978021978022</v>
      </c>
      <c r="X89" s="39">
        <f t="shared" si="9"/>
        <v>-0.000684990207350537</v>
      </c>
      <c r="Y89" s="41" t="s">
        <v>13</v>
      </c>
      <c r="Z89" s="41">
        <v>0.089285886506219</v>
      </c>
      <c r="AA89" s="43">
        <v>0.272727272727273</v>
      </c>
      <c r="AB89" s="39">
        <f>Z89*AA89</f>
        <v>0.0243506963198779</v>
      </c>
      <c r="AC89" s="38">
        <v>-0.00941202017830468</v>
      </c>
      <c r="AD89" s="41">
        <v>0.0947730792746565</v>
      </c>
      <c r="AE89" s="38">
        <v>-0.00599593674710866</v>
      </c>
      <c r="AF89" s="38">
        <v>-0.000285138089905857</v>
      </c>
      <c r="AG89" s="41">
        <v>0.000884307192331662</v>
      </c>
      <c r="AH89" s="41">
        <v>0.0243506963198779</v>
      </c>
      <c r="AI89" s="44">
        <v>0.154545454545455</v>
      </c>
      <c r="AJ89" s="39">
        <f>AI89-AC89-AD89-AE89-AF89-AG89-AH89</f>
        <v>0.0502304667739081</v>
      </c>
    </row>
    <row r="90" spans="1:36">
      <c r="A90" s="37" t="s">
        <v>44</v>
      </c>
      <c r="B90" s="41"/>
      <c r="C90" s="40" t="s">
        <v>72</v>
      </c>
      <c r="D90" s="38" t="s">
        <v>14</v>
      </c>
      <c r="E90" s="38" t="s">
        <v>9</v>
      </c>
      <c r="F90" s="38">
        <v>0.297526330433151</v>
      </c>
      <c r="G90" s="43">
        <v>0.696172161172188</v>
      </c>
      <c r="H90" s="36">
        <f t="shared" si="5"/>
        <v>0.207129548463277</v>
      </c>
      <c r="I90" s="38" t="s">
        <v>10</v>
      </c>
      <c r="J90" s="38">
        <v>-0.08407401638601</v>
      </c>
      <c r="K90" s="43">
        <v>3.83164835164835</v>
      </c>
      <c r="L90" s="39">
        <f t="shared" si="6"/>
        <v>-0.322142066301912</v>
      </c>
      <c r="M90" s="36" t="s">
        <v>11</v>
      </c>
      <c r="N90" s="38">
        <v>-4.57262070386469</v>
      </c>
      <c r="O90" s="43">
        <v>0.039007110536521</v>
      </c>
      <c r="P90" s="36">
        <f t="shared" si="7"/>
        <v>-0.178364721237234</v>
      </c>
      <c r="Q90" s="41" t="s">
        <v>12</v>
      </c>
      <c r="R90" s="41">
        <v>-0.38386080512091</v>
      </c>
      <c r="S90" s="43">
        <v>-0.0304201680672273</v>
      </c>
      <c r="T90" s="39">
        <f t="shared" si="8"/>
        <v>0.0116771102061993</v>
      </c>
      <c r="U90" s="41" t="s">
        <v>13</v>
      </c>
      <c r="V90" s="41">
        <v>0.311670544344494</v>
      </c>
      <c r="W90" s="43">
        <v>-0.0021978021978022</v>
      </c>
      <c r="X90" s="39">
        <f t="shared" si="9"/>
        <v>-0.000684990207350537</v>
      </c>
      <c r="Y90" s="41" t="s">
        <v>13</v>
      </c>
      <c r="Z90" s="41">
        <v>-0.249780023616348</v>
      </c>
      <c r="AA90" s="43">
        <v>0.272727272727273</v>
      </c>
      <c r="AB90" s="39">
        <f>Z90*AA90</f>
        <v>-0.0681218246226404</v>
      </c>
      <c r="AC90" s="38">
        <v>0.190697706062779</v>
      </c>
      <c r="AD90" s="41">
        <v>-0.024230413365383</v>
      </c>
      <c r="AE90" s="38">
        <v>0.224685608945853</v>
      </c>
      <c r="AF90" s="38">
        <v>-0.117998647230101</v>
      </c>
      <c r="AG90" s="41">
        <v>0.0290837283736117</v>
      </c>
      <c r="AH90" s="41">
        <v>-0.0681218246226405</v>
      </c>
      <c r="AI90" s="44">
        <v>0.154545454545455</v>
      </c>
      <c r="AJ90" s="39">
        <f>AI90-AC90-AD90-AE90-AF90-AG90-AH90</f>
        <v>-0.0795707036186642</v>
      </c>
    </row>
    <row r="91" spans="1:36">
      <c r="A91" s="37" t="s">
        <v>44</v>
      </c>
      <c r="B91" s="41"/>
      <c r="C91" s="40" t="s">
        <v>72</v>
      </c>
      <c r="D91" s="38" t="s">
        <v>15</v>
      </c>
      <c r="E91" s="38" t="s">
        <v>9</v>
      </c>
      <c r="F91" s="38">
        <v>0.287233622458226</v>
      </c>
      <c r="G91" s="43">
        <v>-0.0933468515611273</v>
      </c>
      <c r="H91" s="36">
        <f t="shared" si="5"/>
        <v>-0.0268123543189729</v>
      </c>
      <c r="I91" s="38" t="s">
        <v>10</v>
      </c>
      <c r="J91" s="38">
        <v>-0.0573215489080204</v>
      </c>
      <c r="K91" s="43">
        <v>10.4784615384615</v>
      </c>
      <c r="L91" s="39">
        <f t="shared" si="6"/>
        <v>-0.600641645557732</v>
      </c>
      <c r="M91" s="36" t="s">
        <v>11</v>
      </c>
      <c r="N91" s="38">
        <v>-4.52753669594404</v>
      </c>
      <c r="O91" s="43">
        <v>0.0176923076923072</v>
      </c>
      <c r="P91" s="36">
        <f t="shared" si="7"/>
        <v>-0.0801025723128539</v>
      </c>
      <c r="Q91" s="41" t="s">
        <v>12</v>
      </c>
      <c r="R91" s="41">
        <v>-10.2973524506126</v>
      </c>
      <c r="S91" s="43">
        <v>0.000245944531658588</v>
      </c>
      <c r="T91" s="39">
        <f t="shared" si="8"/>
        <v>-0.00253257752578933</v>
      </c>
      <c r="U91" s="41" t="s">
        <v>13</v>
      </c>
      <c r="V91" s="41">
        <v>0.264859172430557</v>
      </c>
      <c r="W91" s="43">
        <v>-0.0021978021978022</v>
      </c>
      <c r="X91" s="39">
        <f t="shared" si="9"/>
        <v>-0.00058210807127595</v>
      </c>
      <c r="Y91" s="41" t="s">
        <v>13</v>
      </c>
      <c r="Z91" s="41">
        <v>-0.0712289233813537</v>
      </c>
      <c r="AA91" s="43">
        <v>0.272727272727273</v>
      </c>
      <c r="AB91" s="39">
        <f>Z91*AA91</f>
        <v>-0.0194260700130965</v>
      </c>
      <c r="AC91" s="38">
        <v>0.0412967806884349</v>
      </c>
      <c r="AD91" s="41">
        <v>-0.0306867624911756</v>
      </c>
      <c r="AE91" s="38">
        <v>-0.0473012409797133</v>
      </c>
      <c r="AF91" s="38">
        <v>-0.0330866646327938</v>
      </c>
      <c r="AG91" s="41">
        <v>-0.00541542371939345</v>
      </c>
      <c r="AH91" s="41">
        <v>-0.0194260700130965</v>
      </c>
      <c r="AI91" s="44">
        <v>0.154545454545455</v>
      </c>
      <c r="AJ91" s="39">
        <f>AI91-AC91-AD91-AE91-AF91-AG91-AH91</f>
        <v>0.249164835693193</v>
      </c>
    </row>
    <row r="92" spans="1:36">
      <c r="A92" s="35" t="s">
        <v>45</v>
      </c>
      <c r="B92" s="39"/>
      <c r="C92" s="40" t="s">
        <v>75</v>
      </c>
      <c r="D92" s="36" t="s">
        <v>8</v>
      </c>
      <c r="E92" s="36" t="s">
        <v>9</v>
      </c>
      <c r="F92" s="39">
        <v>-0.260125706243787</v>
      </c>
      <c r="G92" s="43">
        <v>0.00580896686160885</v>
      </c>
      <c r="H92" s="36">
        <f t="shared" si="5"/>
        <v>-0.00151106160742276</v>
      </c>
      <c r="I92" s="36" t="s">
        <v>10</v>
      </c>
      <c r="J92" s="39">
        <v>-0.0242633514164753</v>
      </c>
      <c r="K92" s="43">
        <v>1.13157894736842</v>
      </c>
      <c r="L92" s="39">
        <f t="shared" si="6"/>
        <v>-0.0274558976554852</v>
      </c>
      <c r="M92" s="36" t="s">
        <v>11</v>
      </c>
      <c r="N92" s="39">
        <v>-2.45758045346904</v>
      </c>
      <c r="O92" s="43">
        <v>0.0093679983090261</v>
      </c>
      <c r="P92" s="36">
        <f t="shared" si="7"/>
        <v>-0.0230226095323936</v>
      </c>
      <c r="Q92" s="39" t="s">
        <v>12</v>
      </c>
      <c r="R92" s="39">
        <v>-7.20727765261857</v>
      </c>
      <c r="S92" s="43">
        <v>-0.0477066159374341</v>
      </c>
      <c r="T92" s="39">
        <f t="shared" si="8"/>
        <v>0.343834826927926</v>
      </c>
      <c r="U92" s="39" t="s">
        <v>13</v>
      </c>
      <c r="V92" s="39">
        <v>-0.575066811839093</v>
      </c>
      <c r="W92" s="43">
        <v>-1.19824561403509</v>
      </c>
      <c r="X92" s="39">
        <f t="shared" si="9"/>
        <v>0.689071285063335</v>
      </c>
      <c r="Y92" s="39"/>
      <c r="Z92" s="39">
        <v>0.202789822774513</v>
      </c>
      <c r="AA92" s="43">
        <v>-1.19824561403509</v>
      </c>
      <c r="AB92" s="39">
        <f>Z92*AA92</f>
        <v>-0.242992015710513</v>
      </c>
      <c r="AC92" s="36">
        <v>-0.00015997907132017</v>
      </c>
      <c r="AD92" s="39">
        <v>0.143729493106059</v>
      </c>
      <c r="AE92" s="36">
        <v>-0.0117305610319138</v>
      </c>
      <c r="AF92" s="36">
        <v>0.221150984003108</v>
      </c>
      <c r="AG92" s="39">
        <v>-0.056640695124651</v>
      </c>
      <c r="AH92" s="39">
        <v>-0.242992015710513</v>
      </c>
      <c r="AI92" s="43">
        <v>0.345614035087719</v>
      </c>
      <c r="AJ92" s="39">
        <f>AI92-AC92-AD92-AE92-AF92-AG92-AH92</f>
        <v>0.29225680891695</v>
      </c>
    </row>
    <row r="93" spans="1:36">
      <c r="A93" s="35" t="s">
        <v>45</v>
      </c>
      <c r="B93" s="39"/>
      <c r="C93" s="40" t="s">
        <v>75</v>
      </c>
      <c r="D93" s="36" t="s">
        <v>14</v>
      </c>
      <c r="E93" s="36" t="s">
        <v>9</v>
      </c>
      <c r="F93" s="39">
        <v>0.436550579240094</v>
      </c>
      <c r="G93" s="43">
        <v>0.677819548872175</v>
      </c>
      <c r="H93" s="36">
        <f t="shared" si="5"/>
        <v>0.295902516680407</v>
      </c>
      <c r="I93" s="36" t="s">
        <v>10</v>
      </c>
      <c r="J93" s="39">
        <v>0.419473331240805</v>
      </c>
      <c r="K93" s="43">
        <v>-0.598421052631579</v>
      </c>
      <c r="L93" s="39">
        <f t="shared" si="6"/>
        <v>-0.251021672431998</v>
      </c>
      <c r="M93" s="36" t="s">
        <v>11</v>
      </c>
      <c r="N93" s="39">
        <v>-10.8312964902928</v>
      </c>
      <c r="O93" s="43">
        <v>0.0429365079365077</v>
      </c>
      <c r="P93" s="36">
        <f t="shared" si="7"/>
        <v>-0.465058047718125</v>
      </c>
      <c r="Q93" s="39" t="s">
        <v>12</v>
      </c>
      <c r="R93" s="39">
        <v>5.98079607046463</v>
      </c>
      <c r="S93" s="43">
        <v>-0.053406432748538</v>
      </c>
      <c r="T93" s="39">
        <f t="shared" si="8"/>
        <v>-0.31941298311999</v>
      </c>
      <c r="U93" s="39" t="s">
        <v>13</v>
      </c>
      <c r="V93" s="39">
        <v>-0.575066811839093</v>
      </c>
      <c r="W93" s="43">
        <v>-1.19824561403509</v>
      </c>
      <c r="X93" s="39">
        <f t="shared" si="9"/>
        <v>0.689071285063335</v>
      </c>
      <c r="Y93" s="39"/>
      <c r="Z93" s="39">
        <v>-0.161131562782201</v>
      </c>
      <c r="AA93" s="43">
        <v>-1.19824561403509</v>
      </c>
      <c r="AB93" s="39">
        <f>Z93*AA93</f>
        <v>0.193075188386392</v>
      </c>
      <c r="AC93" s="36">
        <v>0.122202529287182</v>
      </c>
      <c r="AD93" s="39">
        <v>-0.0320390040506618</v>
      </c>
      <c r="AE93" s="36">
        <v>-0.230860692035447</v>
      </c>
      <c r="AF93" s="36">
        <v>0.312027099886249</v>
      </c>
      <c r="AG93" s="39">
        <v>-0.227872543867636</v>
      </c>
      <c r="AH93" s="39">
        <v>0.193075188386392</v>
      </c>
      <c r="AI93" s="43">
        <v>0.345614035087719</v>
      </c>
      <c r="AJ93" s="39">
        <f>AI93-AC93-AD93-AE93-AF93-AG93-AH93</f>
        <v>0.209081457481641</v>
      </c>
    </row>
    <row r="94" spans="1:36">
      <c r="A94" s="35" t="s">
        <v>45</v>
      </c>
      <c r="B94" s="39"/>
      <c r="C94" s="40" t="s">
        <v>75</v>
      </c>
      <c r="D94" s="36" t="s">
        <v>15</v>
      </c>
      <c r="E94" s="36" t="s">
        <v>9</v>
      </c>
      <c r="F94" s="39">
        <v>0.0132669192068217</v>
      </c>
      <c r="G94" s="43">
        <v>0.251228351327058</v>
      </c>
      <c r="H94" s="36">
        <f t="shared" si="5"/>
        <v>0.0033330262395191</v>
      </c>
      <c r="I94" s="36" t="s">
        <v>10</v>
      </c>
      <c r="J94" s="39">
        <v>0.124186515333977</v>
      </c>
      <c r="K94" s="43">
        <v>0.50280701754386</v>
      </c>
      <c r="L94" s="39">
        <f t="shared" si="6"/>
        <v>0.0624418513942418</v>
      </c>
      <c r="M94" s="36" t="s">
        <v>11</v>
      </c>
      <c r="N94" s="39">
        <v>-0.00962410349462006</v>
      </c>
      <c r="O94" s="43">
        <v>0.0255411118156825</v>
      </c>
      <c r="P94" s="36">
        <f t="shared" si="7"/>
        <v>-0.000245810303481792</v>
      </c>
      <c r="Q94" s="39" t="s">
        <v>12</v>
      </c>
      <c r="R94" s="39">
        <v>-1.3995326092931</v>
      </c>
      <c r="S94" s="43">
        <v>-0.0499323610230395</v>
      </c>
      <c r="T94" s="39">
        <f t="shared" si="8"/>
        <v>0.0698819675107396</v>
      </c>
      <c r="U94" s="39" t="s">
        <v>13</v>
      </c>
      <c r="V94" s="39">
        <v>0.0648768068799718</v>
      </c>
      <c r="W94" s="43">
        <v>-1.19824561403509</v>
      </c>
      <c r="X94" s="39">
        <f t="shared" si="9"/>
        <v>-0.0777383492965278</v>
      </c>
      <c r="Y94" s="39"/>
      <c r="Z94" s="39">
        <v>0.152132838722046</v>
      </c>
      <c r="AA94" s="43">
        <v>-1.19824561403509</v>
      </c>
      <c r="AB94" s="39">
        <f>Z94*AA94</f>
        <v>-0.182292506749399</v>
      </c>
      <c r="AC94" s="36">
        <v>0.017263933599416</v>
      </c>
      <c r="AD94" s="39">
        <v>-0.013161979081022</v>
      </c>
      <c r="AE94" s="36">
        <v>-0.112642862069459</v>
      </c>
      <c r="AF94" s="36">
        <v>0.512431270197403</v>
      </c>
      <c r="AG94" s="39">
        <v>-0.110579996323317</v>
      </c>
      <c r="AH94" s="39">
        <v>-0.1822925067494</v>
      </c>
      <c r="AI94" s="43">
        <v>0.345614035087719</v>
      </c>
      <c r="AJ94" s="39">
        <f>AI94-AC94-AD94-AE94-AF94-AG94-AH94</f>
        <v>0.234596175514098</v>
      </c>
    </row>
    <row r="95" spans="1:36">
      <c r="A95" s="35" t="s">
        <v>46</v>
      </c>
      <c r="B95" s="39"/>
      <c r="C95" s="40" t="s">
        <v>75</v>
      </c>
      <c r="D95" s="36" t="s">
        <v>8</v>
      </c>
      <c r="E95" s="36" t="s">
        <v>9</v>
      </c>
      <c r="F95" s="36">
        <v>-0.846761323694436</v>
      </c>
      <c r="G95" s="43">
        <v>0.253863992367281</v>
      </c>
      <c r="H95" s="36">
        <f t="shared" si="5"/>
        <v>-0.214962210215273</v>
      </c>
      <c r="I95" s="36" t="s">
        <v>10</v>
      </c>
      <c r="J95" s="36">
        <v>0.0610615388973404</v>
      </c>
      <c r="K95" s="43">
        <v>4.96879120879121</v>
      </c>
      <c r="L95" s="39">
        <f t="shared" si="6"/>
        <v>0.303402037668367</v>
      </c>
      <c r="M95" s="36" t="s">
        <v>11</v>
      </c>
      <c r="N95" s="36">
        <v>1.00622460276853</v>
      </c>
      <c r="O95" s="43">
        <v>0.0474101574101545</v>
      </c>
      <c r="P95" s="36">
        <f t="shared" si="7"/>
        <v>0.0477052668072262</v>
      </c>
      <c r="Q95" s="39" t="s">
        <v>12</v>
      </c>
      <c r="R95" s="39">
        <v>-1.53449257532184</v>
      </c>
      <c r="S95" s="43">
        <v>-0.0584021384021383</v>
      </c>
      <c r="T95" s="39">
        <f t="shared" si="8"/>
        <v>0.0896176477609997</v>
      </c>
      <c r="U95" s="39" t="s">
        <v>13</v>
      </c>
      <c r="V95" s="39">
        <v>0.00823569519676403</v>
      </c>
      <c r="W95" s="43">
        <v>-0.349450549450549</v>
      </c>
      <c r="X95" s="39">
        <f t="shared" si="9"/>
        <v>-0.00287796821161644</v>
      </c>
      <c r="Y95" s="39"/>
      <c r="Z95" s="39">
        <v>0.338209281186696</v>
      </c>
      <c r="AA95" s="43">
        <v>-0.277727682596934</v>
      </c>
      <c r="AB95" s="39">
        <f>Z95*AA95</f>
        <v>-0.0939300798967559</v>
      </c>
      <c r="AC95" s="36">
        <v>-0.958436736872549</v>
      </c>
      <c r="AD95" s="39">
        <v>0.120342690361387</v>
      </c>
      <c r="AE95" s="36">
        <v>0.00642699866830896</v>
      </c>
      <c r="AF95" s="36">
        <v>0.741530599468064</v>
      </c>
      <c r="AG95" s="39">
        <v>0.84995726941541</v>
      </c>
      <c r="AH95" s="39">
        <v>-0.0939300798967558</v>
      </c>
      <c r="AI95" s="39">
        <v>0.909377817853923</v>
      </c>
      <c r="AJ95" s="39">
        <f>AI95-AC95-AD95-AE95-AF95-AG95-AH95</f>
        <v>0.243487076710058</v>
      </c>
    </row>
    <row r="96" spans="1:36">
      <c r="A96" s="35" t="s">
        <v>46</v>
      </c>
      <c r="B96" s="39"/>
      <c r="C96" s="40" t="s">
        <v>75</v>
      </c>
      <c r="D96" s="36" t="s">
        <v>14</v>
      </c>
      <c r="E96" s="36" t="s">
        <v>9</v>
      </c>
      <c r="F96" s="36">
        <v>-3.14956963219206</v>
      </c>
      <c r="G96" s="43">
        <v>0.366199633699634</v>
      </c>
      <c r="H96" s="36">
        <f t="shared" si="5"/>
        <v>-1.15337124562022</v>
      </c>
      <c r="I96" s="36" t="s">
        <v>10</v>
      </c>
      <c r="J96" s="36">
        <v>0.161375370404074</v>
      </c>
      <c r="K96" s="43">
        <v>9.19362637362637</v>
      </c>
      <c r="L96" s="39">
        <f t="shared" si="6"/>
        <v>1.48362486140062</v>
      </c>
      <c r="M96" s="36" t="s">
        <v>11</v>
      </c>
      <c r="N96" s="36">
        <v>4.55433570245219</v>
      </c>
      <c r="O96" s="43">
        <v>0.062241758241758</v>
      </c>
      <c r="P96" s="36">
        <f t="shared" si="7"/>
        <v>0.283469861743836</v>
      </c>
      <c r="Q96" s="39" t="s">
        <v>12</v>
      </c>
      <c r="R96" s="39">
        <v>-2.38358337497883</v>
      </c>
      <c r="S96" s="43">
        <v>-0.0455003663003663</v>
      </c>
      <c r="T96" s="39">
        <f t="shared" si="8"/>
        <v>0.108453916669</v>
      </c>
      <c r="U96" s="39" t="s">
        <v>13</v>
      </c>
      <c r="V96" s="39">
        <v>0.00823569519676403</v>
      </c>
      <c r="W96" s="43">
        <v>-0.349450549450549</v>
      </c>
      <c r="X96" s="39">
        <f t="shared" si="9"/>
        <v>-0.00287796821161644</v>
      </c>
      <c r="Y96" s="39"/>
      <c r="Z96" s="39">
        <v>0.0384564380246345</v>
      </c>
      <c r="AA96" s="43">
        <v>-0.277727682596934</v>
      </c>
      <c r="AB96" s="39">
        <f>Z96*AA96</f>
        <v>-0.0106804174135144</v>
      </c>
      <c r="AC96" s="36">
        <v>-0.878226956832042</v>
      </c>
      <c r="AD96" s="39">
        <v>1.22404777148553</v>
      </c>
      <c r="AE96" s="36">
        <v>0.118521280475012</v>
      </c>
      <c r="AF96" s="36">
        <v>0.265611579149534</v>
      </c>
      <c r="AG96" s="39">
        <v>0.0844471047522697</v>
      </c>
      <c r="AH96" s="39">
        <v>-0.0106804174135144</v>
      </c>
      <c r="AI96" s="39">
        <v>0.909377817853923</v>
      </c>
      <c r="AJ96" s="39">
        <f>AI96-AC96-AD96-AE96-AF96-AG96-AH96</f>
        <v>0.105657456237134</v>
      </c>
    </row>
    <row r="97" spans="1:36">
      <c r="A97" s="35" t="s">
        <v>46</v>
      </c>
      <c r="B97" s="39"/>
      <c r="C97" s="40" t="s">
        <v>75</v>
      </c>
      <c r="D97" s="36" t="s">
        <v>15</v>
      </c>
      <c r="E97" s="36" t="s">
        <v>9</v>
      </c>
      <c r="F97" s="36">
        <v>-4.89658697960579</v>
      </c>
      <c r="G97" s="43">
        <v>0.345902621798226</v>
      </c>
      <c r="H97" s="36">
        <f t="shared" si="5"/>
        <v>-1.6937422741087</v>
      </c>
      <c r="I97" s="36" t="s">
        <v>10</v>
      </c>
      <c r="J97" s="36">
        <v>0.13344237523339</v>
      </c>
      <c r="K97" s="43">
        <v>13.4518681318681</v>
      </c>
      <c r="L97" s="39">
        <f t="shared" si="6"/>
        <v>1.79504923484282</v>
      </c>
      <c r="M97" s="36" t="s">
        <v>11</v>
      </c>
      <c r="N97" s="36">
        <v>8.58882464055701</v>
      </c>
      <c r="O97" s="43">
        <v>0.0549435699435668</v>
      </c>
      <c r="P97" s="36">
        <f t="shared" si="7"/>
        <v>0.471900687371474</v>
      </c>
      <c r="Q97" s="39" t="s">
        <v>12</v>
      </c>
      <c r="R97" s="39">
        <v>-7.16413752037705</v>
      </c>
      <c r="S97" s="43">
        <v>-0.0482150282150279</v>
      </c>
      <c r="T97" s="39">
        <f t="shared" si="8"/>
        <v>0.345419092681319</v>
      </c>
      <c r="U97" s="39" t="s">
        <v>13</v>
      </c>
      <c r="V97" s="39">
        <v>0.475463137706062</v>
      </c>
      <c r="W97" s="43">
        <v>-0.349450549450549</v>
      </c>
      <c r="X97" s="39">
        <f t="shared" si="9"/>
        <v>-0.166150854714865</v>
      </c>
      <c r="Y97" s="39"/>
      <c r="Z97" s="39">
        <v>0.173459732229133</v>
      </c>
      <c r="AA97" s="43">
        <v>-0.277727682596934</v>
      </c>
      <c r="AB97" s="39">
        <f>Z97*AA97</f>
        <v>-0.0481745694558818</v>
      </c>
      <c r="AC97" s="36">
        <v>-1.44224811919531</v>
      </c>
      <c r="AD97" s="39">
        <v>1.45209407983714</v>
      </c>
      <c r="AE97" s="36">
        <v>-0.010456870105029</v>
      </c>
      <c r="AF97" s="36">
        <v>0.681512873485808</v>
      </c>
      <c r="AG97" s="39">
        <v>0.191656420902898</v>
      </c>
      <c r="AH97" s="39">
        <v>-0.0481745694558819</v>
      </c>
      <c r="AI97" s="39">
        <v>0.909377817853923</v>
      </c>
      <c r="AJ97" s="39">
        <f>AI97-AC97-AD97-AE97-AF97-AG97-AH97</f>
        <v>0.0849940023842981</v>
      </c>
    </row>
    <row r="98" spans="1:36">
      <c r="A98" s="35" t="s">
        <v>47</v>
      </c>
      <c r="B98" s="39"/>
      <c r="C98" s="40" t="s">
        <v>75</v>
      </c>
      <c r="D98" s="36" t="s">
        <v>8</v>
      </c>
      <c r="E98" s="36" t="s">
        <v>9</v>
      </c>
      <c r="F98" s="36">
        <v>4.26824930460448</v>
      </c>
      <c r="G98" s="43">
        <v>0.253863992367281</v>
      </c>
      <c r="H98" s="36">
        <f t="shared" si="5"/>
        <v>1.08355480888576</v>
      </c>
      <c r="I98" s="36" t="s">
        <v>10</v>
      </c>
      <c r="J98" s="36">
        <v>0.038502059968188</v>
      </c>
      <c r="K98" s="43">
        <v>5.28879120879121</v>
      </c>
      <c r="L98" s="39">
        <f t="shared" si="6"/>
        <v>0.203629356280105</v>
      </c>
      <c r="M98" s="36" t="s">
        <v>11</v>
      </c>
      <c r="N98" s="36">
        <v>-9.23674777780553</v>
      </c>
      <c r="O98" s="43">
        <v>0.0456336996336987</v>
      </c>
      <c r="P98" s="36">
        <f t="shared" si="7"/>
        <v>-0.421506973684611</v>
      </c>
      <c r="Q98" s="39" t="s">
        <v>12</v>
      </c>
      <c r="R98" s="39">
        <v>6.11885548398534</v>
      </c>
      <c r="S98" s="43">
        <v>-0.0821538461538462</v>
      </c>
      <c r="T98" s="39">
        <f t="shared" si="8"/>
        <v>-0.50268751206895</v>
      </c>
      <c r="U98" s="39" t="s">
        <v>13</v>
      </c>
      <c r="V98" s="39">
        <v>-0.639600448209108</v>
      </c>
      <c r="W98" s="43">
        <v>-0.865934065934066</v>
      </c>
      <c r="X98" s="39">
        <f t="shared" si="9"/>
        <v>0.553851816690964</v>
      </c>
      <c r="Y98" s="39"/>
      <c r="Z98" s="39">
        <v>-0.3484298643151</v>
      </c>
      <c r="AA98" s="43">
        <v>-0.706943192064923</v>
      </c>
      <c r="AB98" s="39">
        <f>Z98*AA98</f>
        <v>0.246320120489665</v>
      </c>
      <c r="AC98" s="36">
        <v>-0.0659240155554066</v>
      </c>
      <c r="AD98" s="39">
        <v>0.271697269637584</v>
      </c>
      <c r="AE98" s="36">
        <v>0.0013429233172599</v>
      </c>
      <c r="AF98" s="36">
        <v>-0.528441948255439</v>
      </c>
      <c r="AG98" s="39">
        <v>0.663202848292832</v>
      </c>
      <c r="AH98" s="39">
        <v>0.246320120489665</v>
      </c>
      <c r="AI98" s="39">
        <v>1.309738503156</v>
      </c>
      <c r="AJ98" s="39">
        <f>AI98-AC98-AD98-AE98-AF98-AG98-AH98</f>
        <v>0.721541305229505</v>
      </c>
    </row>
    <row r="99" spans="1:36">
      <c r="A99" s="35" t="s">
        <v>47</v>
      </c>
      <c r="B99" s="39"/>
      <c r="C99" s="40" t="s">
        <v>75</v>
      </c>
      <c r="D99" s="36" t="s">
        <v>14</v>
      </c>
      <c r="E99" s="36" t="s">
        <v>9</v>
      </c>
      <c r="F99" s="36">
        <v>-0.705987415020945</v>
      </c>
      <c r="G99" s="43">
        <v>0.366199633699634</v>
      </c>
      <c r="H99" s="36">
        <f t="shared" si="5"/>
        <v>-0.258532332777222</v>
      </c>
      <c r="I99" s="36" t="s">
        <v>10</v>
      </c>
      <c r="J99" s="36">
        <v>0.139590724020752</v>
      </c>
      <c r="K99" s="43">
        <v>6.35956043956044</v>
      </c>
      <c r="L99" s="39">
        <f t="shared" si="6"/>
        <v>0.887735646211974</v>
      </c>
      <c r="M99" s="36" t="s">
        <v>11</v>
      </c>
      <c r="N99" s="36">
        <v>0.0921603673456415</v>
      </c>
      <c r="O99" s="43">
        <v>0.0517765567765581</v>
      </c>
      <c r="P99" s="36">
        <f t="shared" si="7"/>
        <v>0.00477174649242006</v>
      </c>
      <c r="Q99" s="39" t="s">
        <v>12</v>
      </c>
      <c r="R99" s="39">
        <v>-7.80326531289318</v>
      </c>
      <c r="S99" s="43">
        <v>-0.0189853479853481</v>
      </c>
      <c r="T99" s="39">
        <f t="shared" si="8"/>
        <v>0.148147707387273</v>
      </c>
      <c r="U99" s="39" t="s">
        <v>13</v>
      </c>
      <c r="V99" s="39">
        <v>-0.639600448209108</v>
      </c>
      <c r="W99" s="43">
        <v>-0.865934065934066</v>
      </c>
      <c r="X99" s="39">
        <f t="shared" si="9"/>
        <v>0.553851816690964</v>
      </c>
      <c r="Y99" s="39"/>
      <c r="Z99" s="39">
        <v>-0.257712170598252</v>
      </c>
      <c r="AA99" s="43">
        <v>-0.706943192064923</v>
      </c>
      <c r="AB99" s="39">
        <f>Z99*AA99</f>
        <v>0.182187864516708</v>
      </c>
      <c r="AC99" s="36">
        <v>-0.575644166232972</v>
      </c>
      <c r="AD99" s="39">
        <v>2.93453882842781</v>
      </c>
      <c r="AE99" s="36">
        <v>0.339629729769181</v>
      </c>
      <c r="AF99" s="36">
        <v>-2.13009545729266</v>
      </c>
      <c r="AG99" s="39">
        <v>0.335930779545558</v>
      </c>
      <c r="AH99" s="39">
        <v>0.182187864516709</v>
      </c>
      <c r="AI99" s="39">
        <v>1.309738503156</v>
      </c>
      <c r="AJ99" s="39">
        <f>AI99-AC99-AD99-AE99-AF99-AG99-AH99</f>
        <v>0.223190924422374</v>
      </c>
    </row>
    <row r="100" spans="1:36">
      <c r="A100" s="35" t="s">
        <v>47</v>
      </c>
      <c r="B100" s="39"/>
      <c r="C100" s="40" t="s">
        <v>75</v>
      </c>
      <c r="D100" s="36" t="s">
        <v>15</v>
      </c>
      <c r="E100" s="36" t="s">
        <v>9</v>
      </c>
      <c r="F100" s="36">
        <v>2.94418992508655</v>
      </c>
      <c r="G100" s="43">
        <v>0.345902621798226</v>
      </c>
      <c r="H100" s="36">
        <f t="shared" si="5"/>
        <v>1.01840301415936</v>
      </c>
      <c r="I100" s="36" t="s">
        <v>10</v>
      </c>
      <c r="J100" s="36">
        <v>0.0539491755360075</v>
      </c>
      <c r="K100" s="43">
        <v>11.2048351648352</v>
      </c>
      <c r="L100" s="39">
        <f t="shared" si="6"/>
        <v>0.604491619159724</v>
      </c>
      <c r="M100" s="36" t="s">
        <v>11</v>
      </c>
      <c r="N100" s="36">
        <v>-11.1248749729607</v>
      </c>
      <c r="O100" s="43">
        <v>0.0492030658417226</v>
      </c>
      <c r="P100" s="36">
        <f t="shared" si="7"/>
        <v>-0.547377955775517</v>
      </c>
      <c r="Q100" s="39" t="s">
        <v>12</v>
      </c>
      <c r="R100" s="39">
        <v>-10.8546237912734</v>
      </c>
      <c r="S100" s="43">
        <v>-0.0477587958260228</v>
      </c>
      <c r="T100" s="39">
        <f t="shared" si="8"/>
        <v>0.518403761415716</v>
      </c>
      <c r="U100" s="39" t="s">
        <v>13</v>
      </c>
      <c r="V100" s="39">
        <v>-0.386491745094308</v>
      </c>
      <c r="W100" s="43">
        <v>-0.865934065934066</v>
      </c>
      <c r="X100" s="39">
        <f t="shared" si="9"/>
        <v>0.334676368279467</v>
      </c>
      <c r="Y100" s="39"/>
      <c r="Z100" s="39">
        <v>-0.179553994714958</v>
      </c>
      <c r="AA100" s="43">
        <v>-0.706943192064923</v>
      </c>
      <c r="AB100" s="39">
        <f>Z100*AA100</f>
        <v>0.126934474171801</v>
      </c>
      <c r="AC100" s="36">
        <v>0.243103041311216</v>
      </c>
      <c r="AD100" s="39">
        <v>1.87649834891193</v>
      </c>
      <c r="AE100" s="36">
        <v>0.034725546204044</v>
      </c>
      <c r="AF100" s="36">
        <v>-1.7755351782746</v>
      </c>
      <c r="AG100" s="39">
        <v>0.754913689458175</v>
      </c>
      <c r="AH100" s="39">
        <v>0.126934474171801</v>
      </c>
      <c r="AI100" s="39">
        <v>1.309738503156</v>
      </c>
      <c r="AJ100" s="39">
        <f>AI100-AC100-AD100-AE100-AF100-AG100-AH100</f>
        <v>0.049098581373434</v>
      </c>
    </row>
    <row r="101" spans="1:36">
      <c r="A101" s="35" t="s">
        <v>48</v>
      </c>
      <c r="B101" s="39"/>
      <c r="C101" s="40" t="s">
        <v>75</v>
      </c>
      <c r="D101" s="36" t="s">
        <v>8</v>
      </c>
      <c r="E101" s="36" t="s">
        <v>9</v>
      </c>
      <c r="F101" s="36">
        <v>1.37877671657159</v>
      </c>
      <c r="G101" s="43">
        <v>0.253863992367281</v>
      </c>
      <c r="H101" s="36">
        <f t="shared" si="5"/>
        <v>0.350021761851915</v>
      </c>
      <c r="I101" s="36" t="s">
        <v>10</v>
      </c>
      <c r="J101" s="36">
        <v>-0.047293556491757</v>
      </c>
      <c r="K101" s="43">
        <v>6.46417582417582</v>
      </c>
      <c r="L101" s="39">
        <f t="shared" si="6"/>
        <v>-0.305713864513309</v>
      </c>
      <c r="M101" s="36" t="s">
        <v>11</v>
      </c>
      <c r="N101" s="36">
        <v>-2.10279721746517</v>
      </c>
      <c r="O101" s="43">
        <v>0.0417495662232536</v>
      </c>
      <c r="P101" s="36">
        <f t="shared" si="7"/>
        <v>-0.0877908716846355</v>
      </c>
      <c r="Q101" s="39" t="s">
        <v>12</v>
      </c>
      <c r="R101" s="39">
        <v>3.03304840576353</v>
      </c>
      <c r="S101" s="43">
        <v>-0.0687998843262005</v>
      </c>
      <c r="T101" s="39">
        <f t="shared" si="8"/>
        <v>-0.208673379472298</v>
      </c>
      <c r="U101" s="39" t="s">
        <v>13</v>
      </c>
      <c r="V101" s="39">
        <v>0.945371763812078</v>
      </c>
      <c r="W101" s="43">
        <v>-0.193406593406593</v>
      </c>
      <c r="X101" s="39">
        <f t="shared" si="9"/>
        <v>-0.182841132341676</v>
      </c>
      <c r="Y101" s="39"/>
      <c r="Z101" s="39">
        <v>0.583547696485377</v>
      </c>
      <c r="AA101" s="43">
        <v>-0.106402164111812</v>
      </c>
      <c r="AB101" s="39">
        <f>Z101*AA101</f>
        <v>-0.0620907377685069</v>
      </c>
      <c r="AC101" s="36">
        <v>0.155574013241823</v>
      </c>
      <c r="AD101" s="39">
        <v>-0.298666579439666</v>
      </c>
      <c r="AE101" s="36">
        <v>-0.00831415261202959</v>
      </c>
      <c r="AF101" s="36">
        <v>0.751990527141502</v>
      </c>
      <c r="AG101" s="39">
        <v>0.602323286737708</v>
      </c>
      <c r="AH101" s="39">
        <v>-0.0620907377685073</v>
      </c>
      <c r="AI101" s="39">
        <v>1.29936880072137</v>
      </c>
      <c r="AJ101" s="39">
        <f>AI101-AC101-AD101-AE101-AF101-AG101-AH101</f>
        <v>0.15855244342054</v>
      </c>
    </row>
    <row r="102" spans="1:36">
      <c r="A102" s="35" t="s">
        <v>48</v>
      </c>
      <c r="B102" s="39"/>
      <c r="C102" s="40" t="s">
        <v>75</v>
      </c>
      <c r="D102" s="36" t="s">
        <v>14</v>
      </c>
      <c r="E102" s="36" t="s">
        <v>9</v>
      </c>
      <c r="F102" s="36">
        <v>2.7957936125562</v>
      </c>
      <c r="G102" s="43">
        <v>0.366199633699634</v>
      </c>
      <c r="H102" s="36">
        <f t="shared" si="5"/>
        <v>1.02381859681786</v>
      </c>
      <c r="I102" s="36" t="s">
        <v>10</v>
      </c>
      <c r="J102" s="36">
        <v>0.018494571285818</v>
      </c>
      <c r="K102" s="43">
        <v>8.66725274725274</v>
      </c>
      <c r="L102" s="39">
        <f t="shared" si="6"/>
        <v>0.160297123786268</v>
      </c>
      <c r="M102" s="36" t="s">
        <v>11</v>
      </c>
      <c r="N102" s="36">
        <v>2.40204741289141</v>
      </c>
      <c r="O102" s="43">
        <v>0.0703528050896482</v>
      </c>
      <c r="P102" s="36">
        <f t="shared" si="7"/>
        <v>0.168990773455243</v>
      </c>
      <c r="Q102" s="39" t="s">
        <v>12</v>
      </c>
      <c r="R102" s="39">
        <v>-11.3289546329362</v>
      </c>
      <c r="S102" s="43">
        <v>-0.0380422209369579</v>
      </c>
      <c r="T102" s="39">
        <f t="shared" si="8"/>
        <v>0.430978595130932</v>
      </c>
      <c r="U102" s="39" t="s">
        <v>13</v>
      </c>
      <c r="V102" s="39">
        <v>0.945371763812078</v>
      </c>
      <c r="W102" s="43">
        <v>-0.193406593406593</v>
      </c>
      <c r="X102" s="39">
        <f t="shared" si="9"/>
        <v>-0.182841132341676</v>
      </c>
      <c r="Y102" s="39"/>
      <c r="Z102" s="39">
        <v>0.244403270753723</v>
      </c>
      <c r="AA102" s="43">
        <v>-0.106402164111812</v>
      </c>
      <c r="AB102" s="39">
        <f>Z102*AA102</f>
        <v>-0.0260050369242013</v>
      </c>
      <c r="AC102" s="36">
        <v>-0.206895471822114</v>
      </c>
      <c r="AD102" s="39">
        <v>1.93241980806931</v>
      </c>
      <c r="AE102" s="36">
        <v>0.229678470085131</v>
      </c>
      <c r="AF102" s="36">
        <v>-0.957194555767837</v>
      </c>
      <c r="AG102" s="39">
        <v>0.343418810979992</v>
      </c>
      <c r="AH102" s="39">
        <v>-0.0260050369242013</v>
      </c>
      <c r="AI102" s="39">
        <v>1.29936880072137</v>
      </c>
      <c r="AJ102" s="39">
        <f>AI102-AC102-AD102-AE102-AF102-AG102-AH102</f>
        <v>-0.0160532238989107</v>
      </c>
    </row>
    <row r="103" spans="1:36">
      <c r="A103" s="35" t="s">
        <v>48</v>
      </c>
      <c r="B103" s="39"/>
      <c r="C103" s="40" t="s">
        <v>75</v>
      </c>
      <c r="D103" s="36" t="s">
        <v>15</v>
      </c>
      <c r="E103" s="36" t="s">
        <v>9</v>
      </c>
      <c r="F103" s="36">
        <v>-0.812995204259886</v>
      </c>
      <c r="G103" s="43">
        <v>0.345902621798226</v>
      </c>
      <c r="H103" s="36">
        <f t="shared" si="5"/>
        <v>-0.281217172662879</v>
      </c>
      <c r="I103" s="36" t="s">
        <v>10</v>
      </c>
      <c r="J103" s="36">
        <v>0.10382185666293</v>
      </c>
      <c r="K103" s="43">
        <v>14.6879120879121</v>
      </c>
      <c r="L103" s="39">
        <f t="shared" si="6"/>
        <v>1.52492630346893</v>
      </c>
      <c r="M103" s="36" t="s">
        <v>11</v>
      </c>
      <c r="N103" s="36">
        <v>1.0857304448092</v>
      </c>
      <c r="O103" s="43">
        <v>0.0564922494723793</v>
      </c>
      <c r="P103" s="36">
        <f t="shared" si="7"/>
        <v>0.0613353551479187</v>
      </c>
      <c r="Q103" s="39" t="s">
        <v>12</v>
      </c>
      <c r="R103" s="39">
        <v>-7.8392156375919</v>
      </c>
      <c r="S103" s="43">
        <v>-0.051224801688378</v>
      </c>
      <c r="T103" s="39">
        <f t="shared" si="8"/>
        <v>0.401562266428077</v>
      </c>
      <c r="U103" s="39" t="s">
        <v>13</v>
      </c>
      <c r="V103" s="39">
        <v>0.846995683104284</v>
      </c>
      <c r="W103" s="43">
        <v>-0.193406593406593</v>
      </c>
      <c r="X103" s="39">
        <f t="shared" si="9"/>
        <v>-0.16381454969929</v>
      </c>
      <c r="Y103" s="39"/>
      <c r="Z103" s="39">
        <v>0.317676916206542</v>
      </c>
      <c r="AA103" s="43">
        <v>-0.106402164111812</v>
      </c>
      <c r="AB103" s="39">
        <f>Z103*AA103</f>
        <v>-0.0338015113727428</v>
      </c>
      <c r="AC103" s="36">
        <v>-0.318618297059424</v>
      </c>
      <c r="AD103" s="39">
        <v>1.23242605652761</v>
      </c>
      <c r="AE103" s="36">
        <v>-0.146399592244417</v>
      </c>
      <c r="AF103" s="36">
        <v>0.317393297772325</v>
      </c>
      <c r="AG103" s="39">
        <v>0.301005734512264</v>
      </c>
      <c r="AH103" s="39">
        <v>-0.033801511372743</v>
      </c>
      <c r="AI103" s="39">
        <v>1.29936880072137</v>
      </c>
      <c r="AJ103" s="39">
        <f>AI103-AC103-AD103-AE103-AF103-AG103-AH103</f>
        <v>-0.0526368874142449</v>
      </c>
    </row>
    <row r="104" spans="1:36">
      <c r="A104" s="35" t="s">
        <v>49</v>
      </c>
      <c r="B104" s="39"/>
      <c r="C104" s="40" t="s">
        <v>75</v>
      </c>
      <c r="D104" s="36" t="s">
        <v>8</v>
      </c>
      <c r="E104" s="36" t="s">
        <v>9</v>
      </c>
      <c r="F104" s="36">
        <v>-0.877377112424933</v>
      </c>
      <c r="G104" s="43">
        <v>0.253863992367281</v>
      </c>
      <c r="H104" s="36">
        <f t="shared" si="5"/>
        <v>-0.22273445657187</v>
      </c>
      <c r="I104" s="36" t="s">
        <v>10</v>
      </c>
      <c r="J104" s="36">
        <v>0.0207089052645879</v>
      </c>
      <c r="K104" s="43">
        <v>4.17934065934066</v>
      </c>
      <c r="L104" s="39">
        <f t="shared" si="6"/>
        <v>0.0865495697827261</v>
      </c>
      <c r="M104" s="36" t="s">
        <v>11</v>
      </c>
      <c r="N104" s="36">
        <v>3.35315084403432</v>
      </c>
      <c r="O104" s="43">
        <v>0.0456746031746032</v>
      </c>
      <c r="P104" s="36">
        <f t="shared" si="7"/>
        <v>0.153153834185853</v>
      </c>
      <c r="Q104" s="39" t="s">
        <v>12</v>
      </c>
      <c r="R104" s="39">
        <v>3.05822388403537</v>
      </c>
      <c r="S104" s="43">
        <v>-0.0499420024420024</v>
      </c>
      <c r="T104" s="39">
        <f t="shared" si="8"/>
        <v>-0.152733824684685</v>
      </c>
      <c r="U104" s="39" t="s">
        <v>13</v>
      </c>
      <c r="V104" s="39">
        <v>-1.30627963398432</v>
      </c>
      <c r="W104" s="43">
        <v>-0.578571428571421</v>
      </c>
      <c r="X104" s="39">
        <f t="shared" si="9"/>
        <v>0.755776073948061</v>
      </c>
      <c r="Y104" s="39"/>
      <c r="Z104" s="39">
        <v>-0.280687549114659</v>
      </c>
      <c r="AA104" s="43">
        <v>-0.584310189359784</v>
      </c>
      <c r="AB104" s="39">
        <f>Z104*AA104</f>
        <v>0.16400859497412</v>
      </c>
      <c r="AC104" s="36">
        <v>-1.16350083010786</v>
      </c>
      <c r="AD104" s="39">
        <v>0.239648786607663</v>
      </c>
      <c r="AE104" s="36">
        <v>-0.0210073896896076</v>
      </c>
      <c r="AF104" s="36">
        <v>0.743172356840844</v>
      </c>
      <c r="AG104" s="39">
        <v>0.905204786772198</v>
      </c>
      <c r="AH104" s="39">
        <v>0.16400859497412</v>
      </c>
      <c r="AI104" s="39">
        <v>1.35302073940487</v>
      </c>
      <c r="AJ104" s="39">
        <f>AI104-AC104-AD104-AE104-AF104-AG104-AH104</f>
        <v>0.485494434007513</v>
      </c>
    </row>
    <row r="105" spans="1:36">
      <c r="A105" s="35" t="s">
        <v>49</v>
      </c>
      <c r="B105" s="39"/>
      <c r="C105" s="40" t="s">
        <v>75</v>
      </c>
      <c r="D105" s="36" t="s">
        <v>14</v>
      </c>
      <c r="E105" s="36" t="s">
        <v>9</v>
      </c>
      <c r="F105" s="36">
        <v>-3.18795440918583</v>
      </c>
      <c r="G105" s="43">
        <v>0.366199633699634</v>
      </c>
      <c r="H105" s="36">
        <f t="shared" si="5"/>
        <v>-1.16742773689498</v>
      </c>
      <c r="I105" s="36" t="s">
        <v>10</v>
      </c>
      <c r="J105" s="36">
        <v>0.343503832225671</v>
      </c>
      <c r="K105" s="43">
        <v>8.8978021978022</v>
      </c>
      <c r="L105" s="39">
        <f t="shared" si="6"/>
        <v>3.05642915333105</v>
      </c>
      <c r="M105" s="36" t="s">
        <v>11</v>
      </c>
      <c r="N105" s="36">
        <v>-5.34455034754056</v>
      </c>
      <c r="O105" s="43">
        <v>0.0530453108535299</v>
      </c>
      <c r="P105" s="36">
        <f t="shared" si="7"/>
        <v>-0.28350333455763</v>
      </c>
      <c r="Q105" s="39" t="s">
        <v>12</v>
      </c>
      <c r="R105" s="39">
        <v>6.3070896073005</v>
      </c>
      <c r="S105" s="43">
        <v>-0.0377088664759899</v>
      </c>
      <c r="T105" s="39">
        <f t="shared" si="8"/>
        <v>-0.237833199853798</v>
      </c>
      <c r="U105" s="39" t="s">
        <v>13</v>
      </c>
      <c r="V105" s="39">
        <v>-1.30627963398432</v>
      </c>
      <c r="W105" s="43">
        <v>-0.578571428571421</v>
      </c>
      <c r="X105" s="39">
        <f t="shared" si="9"/>
        <v>0.755776073948061</v>
      </c>
      <c r="Y105" s="39"/>
      <c r="Z105" s="39">
        <v>0.0367600206647217</v>
      </c>
      <c r="AA105" s="43">
        <v>-0.584310189359784</v>
      </c>
      <c r="AB105" s="39">
        <f>Z105*AA105</f>
        <v>-0.0214792546354731</v>
      </c>
      <c r="AC105" s="36">
        <v>-1.2794670147587</v>
      </c>
      <c r="AD105" s="39">
        <v>2.38458984893164</v>
      </c>
      <c r="AE105" s="36">
        <v>-0.23959770542894</v>
      </c>
      <c r="AF105" s="36">
        <v>0.638598286393635</v>
      </c>
      <c r="AG105" s="39">
        <v>-0.209166133981651</v>
      </c>
      <c r="AH105" s="39">
        <v>-0.0214792546354731</v>
      </c>
      <c r="AI105" s="39">
        <v>1.35302073940487</v>
      </c>
      <c r="AJ105" s="39">
        <f>AI105-AC105-AD105-AE105-AF105-AG105-AH105</f>
        <v>0.0795427128843589</v>
      </c>
    </row>
    <row r="106" spans="1:36">
      <c r="A106" s="35" t="s">
        <v>49</v>
      </c>
      <c r="B106" s="39"/>
      <c r="C106" s="40" t="s">
        <v>75</v>
      </c>
      <c r="D106" s="36" t="s">
        <v>15</v>
      </c>
      <c r="E106" s="36" t="s">
        <v>9</v>
      </c>
      <c r="F106" s="36">
        <v>-4.27304585445856</v>
      </c>
      <c r="G106" s="43">
        <v>0.345902621798226</v>
      </c>
      <c r="H106" s="36">
        <f t="shared" si="5"/>
        <v>-1.47805776412126</v>
      </c>
      <c r="I106" s="36" t="s">
        <v>10</v>
      </c>
      <c r="J106" s="36">
        <v>0.172000895701264</v>
      </c>
      <c r="K106" s="43">
        <v>12.876043956044</v>
      </c>
      <c r="L106" s="39">
        <f t="shared" si="6"/>
        <v>2.21469109352841</v>
      </c>
      <c r="M106" s="36" t="s">
        <v>11</v>
      </c>
      <c r="N106" s="36">
        <v>6.7516568458769</v>
      </c>
      <c r="O106" s="43">
        <v>0.0483318070818106</v>
      </c>
      <c r="P106" s="36">
        <f t="shared" si="7"/>
        <v>0.326319776157508</v>
      </c>
      <c r="Q106" s="39" t="s">
        <v>12</v>
      </c>
      <c r="R106" s="39">
        <v>-12.8408583794713</v>
      </c>
      <c r="S106" s="43">
        <v>-0.0454365079365081</v>
      </c>
      <c r="T106" s="39">
        <f t="shared" si="8"/>
        <v>0.583443763670424</v>
      </c>
      <c r="U106" s="39" t="s">
        <v>13</v>
      </c>
      <c r="V106" s="39">
        <v>0.867905302262161</v>
      </c>
      <c r="W106" s="43">
        <v>-0.578571428571421</v>
      </c>
      <c r="X106" s="39">
        <f t="shared" si="9"/>
        <v>-0.502145210594529</v>
      </c>
      <c r="Y106" s="39"/>
      <c r="Z106" s="39">
        <v>0.348688621479646</v>
      </c>
      <c r="AA106" s="43">
        <v>-0.584310189359784</v>
      </c>
      <c r="AB106" s="39">
        <f>Z106*AA106</f>
        <v>-0.203742314444374</v>
      </c>
      <c r="AC106" s="36">
        <v>-1.14138132056522</v>
      </c>
      <c r="AD106" s="39">
        <v>1.66307536743294</v>
      </c>
      <c r="AE106" s="36">
        <v>-0.0952384214320707</v>
      </c>
      <c r="AF106" s="36">
        <v>0.450691062346593</v>
      </c>
      <c r="AG106" s="39">
        <v>0.646330267270626</v>
      </c>
      <c r="AH106" s="39">
        <v>-0.203742314444374</v>
      </c>
      <c r="AI106" s="39">
        <v>1.35302073940487</v>
      </c>
      <c r="AJ106" s="39">
        <f>AI106-AC106-AD106-AE106-AF106-AG106-AH106</f>
        <v>0.033286098796376</v>
      </c>
    </row>
    <row r="107" spans="1:36">
      <c r="A107" s="35" t="s">
        <v>50</v>
      </c>
      <c r="B107" s="39"/>
      <c r="C107" s="40" t="s">
        <v>75</v>
      </c>
      <c r="D107" s="36" t="s">
        <v>8</v>
      </c>
      <c r="E107" s="36" t="s">
        <v>9</v>
      </c>
      <c r="F107" s="36">
        <v>5.7942904870691</v>
      </c>
      <c r="G107" s="43">
        <v>0.253863992367281</v>
      </c>
      <c r="H107" s="36">
        <f t="shared" si="5"/>
        <v>1.47096171598312</v>
      </c>
      <c r="I107" s="36" t="s">
        <v>10</v>
      </c>
      <c r="J107" s="36">
        <v>-0.037602734115711</v>
      </c>
      <c r="K107" s="43">
        <v>5.02505494505495</v>
      </c>
      <c r="L107" s="39">
        <f t="shared" si="6"/>
        <v>-0.18895580501574</v>
      </c>
      <c r="M107" s="36" t="s">
        <v>11</v>
      </c>
      <c r="N107" s="36">
        <v>0.386737360731781</v>
      </c>
      <c r="O107" s="43">
        <v>0.0351163542340033</v>
      </c>
      <c r="P107" s="36">
        <f t="shared" si="7"/>
        <v>0.0135808061549807</v>
      </c>
      <c r="Q107" s="39" t="s">
        <v>12</v>
      </c>
      <c r="R107" s="39">
        <v>3.57943201901321</v>
      </c>
      <c r="S107" s="43">
        <v>-0.0742954104718807</v>
      </c>
      <c r="T107" s="39">
        <f t="shared" si="8"/>
        <v>-0.265935371108779</v>
      </c>
      <c r="U107" s="39" t="s">
        <v>13</v>
      </c>
      <c r="V107" s="39">
        <v>0.956726088271869</v>
      </c>
      <c r="W107" s="43">
        <v>-0.217582417582418</v>
      </c>
      <c r="X107" s="39">
        <f t="shared" si="9"/>
        <v>-0.208166775250363</v>
      </c>
      <c r="Y107" s="39"/>
      <c r="Z107" s="39">
        <v>1.1167086002831</v>
      </c>
      <c r="AA107" s="43">
        <v>-0.132100991884581</v>
      </c>
      <c r="AB107" s="39">
        <f>Z107*AA107</f>
        <v>-0.14751831374344</v>
      </c>
      <c r="AC107" s="36">
        <v>0.214344695473837</v>
      </c>
      <c r="AD107" s="39">
        <v>-0.227347374085802</v>
      </c>
      <c r="AE107" s="36">
        <v>-0.0325193251180423</v>
      </c>
      <c r="AF107" s="36">
        <v>1.83596883150646</v>
      </c>
      <c r="AG107" s="39">
        <v>0.745858555923512</v>
      </c>
      <c r="AH107" s="39">
        <v>-0.147518313743439</v>
      </c>
      <c r="AI107" s="39">
        <v>2.60009017132552</v>
      </c>
      <c r="AJ107" s="39">
        <f>AI107-AC107-AD107-AE107-AF107-AG107-AH107</f>
        <v>0.211303101368994</v>
      </c>
    </row>
    <row r="108" spans="1:36">
      <c r="A108" s="35" t="s">
        <v>50</v>
      </c>
      <c r="B108" s="39"/>
      <c r="C108" s="40" t="s">
        <v>75</v>
      </c>
      <c r="D108" s="36" t="s">
        <v>14</v>
      </c>
      <c r="E108" s="36" t="s">
        <v>9</v>
      </c>
      <c r="F108" s="36">
        <v>0.159748150848494</v>
      </c>
      <c r="G108" s="43">
        <v>0.366199633699634</v>
      </c>
      <c r="H108" s="36">
        <f t="shared" si="5"/>
        <v>0.0584997143249124</v>
      </c>
      <c r="I108" s="36" t="s">
        <v>10</v>
      </c>
      <c r="J108" s="36">
        <v>0.170024589168654</v>
      </c>
      <c r="K108" s="43">
        <v>7.15318681318681</v>
      </c>
      <c r="L108" s="39">
        <f t="shared" si="6"/>
        <v>1.21621764915872</v>
      </c>
      <c r="M108" s="36" t="s">
        <v>11</v>
      </c>
      <c r="N108" s="36">
        <v>4.80977919149338</v>
      </c>
      <c r="O108" s="43">
        <v>0.0644593088071383</v>
      </c>
      <c r="P108" s="36">
        <f t="shared" si="7"/>
        <v>0.31003504219862</v>
      </c>
      <c r="Q108" s="39" t="s">
        <v>12</v>
      </c>
      <c r="R108" s="39">
        <v>-9.21786537024751</v>
      </c>
      <c r="S108" s="43">
        <v>-0.0246695333651855</v>
      </c>
      <c r="T108" s="39">
        <f t="shared" si="8"/>
        <v>0.227400437307109</v>
      </c>
      <c r="U108" s="39" t="s">
        <v>13</v>
      </c>
      <c r="V108" s="39">
        <v>0.956726088271869</v>
      </c>
      <c r="W108" s="43">
        <v>-0.217582417582418</v>
      </c>
      <c r="X108" s="39">
        <f t="shared" si="9"/>
        <v>-0.208166775250363</v>
      </c>
      <c r="Y108" s="39"/>
      <c r="Z108" s="39">
        <v>0.521856326238972</v>
      </c>
      <c r="AA108" s="43">
        <v>-0.132100991884581</v>
      </c>
      <c r="AB108" s="39">
        <f>Z108*AA108</f>
        <v>-0.0689377383174117</v>
      </c>
      <c r="AC108" s="36">
        <v>1.15011143200721</v>
      </c>
      <c r="AD108" s="39">
        <v>-0.0375319983773673</v>
      </c>
      <c r="AE108" s="36">
        <v>0.511182508435212</v>
      </c>
      <c r="AF108" s="36">
        <v>-0.0596496756864683</v>
      </c>
      <c r="AG108" s="39">
        <v>0.853683551948091</v>
      </c>
      <c r="AH108" s="39">
        <v>-0.0689377383174115</v>
      </c>
      <c r="AI108" s="39">
        <v>2.60009017132552</v>
      </c>
      <c r="AJ108" s="39">
        <f>AI108-AC108-AD108-AE108-AF108-AG108-AH108</f>
        <v>0.251232091316254</v>
      </c>
    </row>
    <row r="109" spans="1:36">
      <c r="A109" s="35" t="s">
        <v>50</v>
      </c>
      <c r="B109" s="39"/>
      <c r="C109" s="40" t="s">
        <v>75</v>
      </c>
      <c r="D109" s="36" t="s">
        <v>15</v>
      </c>
      <c r="E109" s="36" t="s">
        <v>9</v>
      </c>
      <c r="F109" s="36">
        <v>2.03283407141661</v>
      </c>
      <c r="G109" s="43">
        <v>0.345902621798226</v>
      </c>
      <c r="H109" s="36">
        <f t="shared" si="5"/>
        <v>0.703162634983768</v>
      </c>
      <c r="I109" s="36" t="s">
        <v>10</v>
      </c>
      <c r="J109" s="36">
        <v>0.0956762689133085</v>
      </c>
      <c r="K109" s="43">
        <v>12.9907692307692</v>
      </c>
      <c r="L109" s="39">
        <f t="shared" si="6"/>
        <v>1.24290833031381</v>
      </c>
      <c r="M109" s="36" t="s">
        <v>11</v>
      </c>
      <c r="N109" s="36">
        <v>7.54412131907394</v>
      </c>
      <c r="O109" s="43">
        <v>0.0513720103425991</v>
      </c>
      <c r="P109" s="36">
        <f t="shared" si="7"/>
        <v>0.387556678429289</v>
      </c>
      <c r="Q109" s="39" t="s">
        <v>12</v>
      </c>
      <c r="R109" s="39">
        <v>-10.1552694799259</v>
      </c>
      <c r="S109" s="43">
        <v>-0.0500662572721395</v>
      </c>
      <c r="T109" s="39">
        <f t="shared" si="8"/>
        <v>0.508436334449876</v>
      </c>
      <c r="U109" s="39" t="s">
        <v>13</v>
      </c>
      <c r="V109" s="39">
        <v>1.16206944772787</v>
      </c>
      <c r="W109" s="43">
        <v>-0.217582417582418</v>
      </c>
      <c r="X109" s="39">
        <f t="shared" si="9"/>
        <v>-0.252845879835295</v>
      </c>
      <c r="Y109" s="39"/>
      <c r="Z109" s="39">
        <v>0.413736885389278</v>
      </c>
      <c r="AA109" s="43">
        <v>-0.132100991884581</v>
      </c>
      <c r="AB109" s="39">
        <f>Z109*AA109</f>
        <v>-0.0546550529391608</v>
      </c>
      <c r="AC109" s="36">
        <v>0.0406553088048101</v>
      </c>
      <c r="AD109" s="39">
        <v>1.53274388916647</v>
      </c>
      <c r="AE109" s="36">
        <v>-0.128655093662182</v>
      </c>
      <c r="AF109" s="36">
        <v>0.916595243961999</v>
      </c>
      <c r="AG109" s="39">
        <v>0.147516887885027</v>
      </c>
      <c r="AH109" s="39">
        <v>-0.0546550529391608</v>
      </c>
      <c r="AI109" s="39">
        <v>2.60009017132552</v>
      </c>
      <c r="AJ109" s="39">
        <f>AI109-AC109-AD109-AE109-AF109-AG109-AH109</f>
        <v>0.145888988108556</v>
      </c>
    </row>
    <row r="110" spans="1:36">
      <c r="A110" s="35" t="s">
        <v>51</v>
      </c>
      <c r="B110" s="39"/>
      <c r="C110" s="40" t="s">
        <v>75</v>
      </c>
      <c r="D110" s="36" t="s">
        <v>8</v>
      </c>
      <c r="E110" s="36" t="s">
        <v>9</v>
      </c>
      <c r="F110" s="36">
        <v>2.58453971836698</v>
      </c>
      <c r="G110" s="43">
        <v>0.253863992367281</v>
      </c>
      <c r="H110" s="36">
        <f t="shared" si="5"/>
        <v>0.65612157133645</v>
      </c>
      <c r="I110" s="36" t="s">
        <v>10</v>
      </c>
      <c r="J110" s="36">
        <v>0.0141712496632012</v>
      </c>
      <c r="K110" s="43">
        <v>5.03538461538462</v>
      </c>
      <c r="L110" s="39">
        <f t="shared" si="6"/>
        <v>0.0713576925348578</v>
      </c>
      <c r="M110" s="36" t="s">
        <v>11</v>
      </c>
      <c r="N110" s="36">
        <v>-3.32661141721322</v>
      </c>
      <c r="O110" s="43">
        <v>0.0368507807981497</v>
      </c>
      <c r="P110" s="36">
        <f t="shared" si="7"/>
        <v>-0.122588228136346</v>
      </c>
      <c r="Q110" s="39" t="s">
        <v>12</v>
      </c>
      <c r="R110" s="39">
        <v>1.04067003685784</v>
      </c>
      <c r="S110" s="43">
        <v>-0.0673337189126663</v>
      </c>
      <c r="T110" s="39">
        <f t="shared" si="8"/>
        <v>-0.0700721837426199</v>
      </c>
      <c r="U110" s="39" t="s">
        <v>13</v>
      </c>
      <c r="V110" s="39">
        <v>0.342421130274125</v>
      </c>
      <c r="W110" s="43">
        <v>-0.334065934065934</v>
      </c>
      <c r="X110" s="39">
        <f t="shared" si="9"/>
        <v>-0.114391234728938</v>
      </c>
      <c r="Y110" s="39"/>
      <c r="Z110" s="39">
        <v>0.224614072517118</v>
      </c>
      <c r="AA110" s="43">
        <v>-0.250225428313796</v>
      </c>
      <c r="AB110" s="39">
        <f>Z110*AA110</f>
        <v>-0.0562041525009019</v>
      </c>
      <c r="AC110" s="36">
        <v>0.107106328615978</v>
      </c>
      <c r="AD110" s="39">
        <v>-0.0266823912417083</v>
      </c>
      <c r="AE110" s="36">
        <v>0.00963240535084465</v>
      </c>
      <c r="AF110" s="36">
        <v>0.0900374265660317</v>
      </c>
      <c r="AG110" s="39">
        <v>0.574652336976042</v>
      </c>
      <c r="AH110" s="39">
        <v>-0.0562041525009018</v>
      </c>
      <c r="AI110" s="39">
        <v>1.00360685302074</v>
      </c>
      <c r="AJ110" s="39">
        <f>AI110-AC110-AD110-AE110-AF110-AG110-AH110</f>
        <v>0.305064899254454</v>
      </c>
    </row>
    <row r="111" spans="1:36">
      <c r="A111" s="35" t="s">
        <v>51</v>
      </c>
      <c r="B111" s="39"/>
      <c r="C111" s="40" t="s">
        <v>75</v>
      </c>
      <c r="D111" s="36" t="s">
        <v>14</v>
      </c>
      <c r="E111" s="36" t="s">
        <v>9</v>
      </c>
      <c r="F111" s="36">
        <v>0.0677142795615897</v>
      </c>
      <c r="G111" s="43">
        <v>0.366199633699634</v>
      </c>
      <c r="H111" s="36">
        <f t="shared" si="5"/>
        <v>0.0247969443716888</v>
      </c>
      <c r="I111" s="36" t="s">
        <v>10</v>
      </c>
      <c r="J111" s="36">
        <v>0.0881052694780094</v>
      </c>
      <c r="K111" s="43">
        <v>8.48153846153846</v>
      </c>
      <c r="L111" s="39">
        <f t="shared" si="6"/>
        <v>0.747268231741947</v>
      </c>
      <c r="M111" s="36" t="s">
        <v>11</v>
      </c>
      <c r="N111" s="36">
        <v>-1.14389061267698</v>
      </c>
      <c r="O111" s="43">
        <v>0.0754771544245222</v>
      </c>
      <c r="P111" s="36">
        <f t="shared" si="7"/>
        <v>-0.0863376084177817</v>
      </c>
      <c r="Q111" s="39" t="s">
        <v>12</v>
      </c>
      <c r="R111" s="39">
        <v>-5.10233426040758</v>
      </c>
      <c r="S111" s="43">
        <v>-0.0295720069404279</v>
      </c>
      <c r="T111" s="39">
        <f t="shared" si="8"/>
        <v>0.150886264161156</v>
      </c>
      <c r="U111" s="39" t="s">
        <v>13</v>
      </c>
      <c r="V111" s="39">
        <v>0.342421130274125</v>
      </c>
      <c r="W111" s="43">
        <v>-0.334065934065934</v>
      </c>
      <c r="X111" s="39">
        <f t="shared" si="9"/>
        <v>-0.114391234728938</v>
      </c>
      <c r="Y111" s="39"/>
      <c r="Z111" s="39">
        <v>0.251470346924798</v>
      </c>
      <c r="AA111" s="43">
        <v>-0.250225428313796</v>
      </c>
      <c r="AB111" s="39">
        <f>Z111*AA111</f>
        <v>-0.0629242752674765</v>
      </c>
      <c r="AC111" s="36">
        <v>0.147037307714574</v>
      </c>
      <c r="AD111" s="39">
        <v>1.35001824056223</v>
      </c>
      <c r="AE111" s="36">
        <v>0.545721262131581</v>
      </c>
      <c r="AF111" s="36">
        <v>-1.73704823922669</v>
      </c>
      <c r="AG111" s="39">
        <v>0.647454214968898</v>
      </c>
      <c r="AH111" s="39">
        <v>-0.0629242752674765</v>
      </c>
      <c r="AI111" s="39">
        <v>1.00360685302074</v>
      </c>
      <c r="AJ111" s="39">
        <f>AI111-AC111-AD111-AE111-AF111-AG111-AH111</f>
        <v>0.113348342137624</v>
      </c>
    </row>
    <row r="112" spans="1:36">
      <c r="A112" s="35" t="s">
        <v>51</v>
      </c>
      <c r="B112" s="39"/>
      <c r="C112" s="40" t="s">
        <v>75</v>
      </c>
      <c r="D112" s="36" t="s">
        <v>15</v>
      </c>
      <c r="E112" s="36" t="s">
        <v>9</v>
      </c>
      <c r="F112" s="36">
        <v>0.888297067945426</v>
      </c>
      <c r="G112" s="43">
        <v>0.345902621798226</v>
      </c>
      <c r="H112" s="36">
        <f t="shared" si="5"/>
        <v>0.307264284738</v>
      </c>
      <c r="I112" s="36" t="s">
        <v>10</v>
      </c>
      <c r="J112" s="36">
        <v>0.0637644894259889</v>
      </c>
      <c r="K112" s="43">
        <v>14.3294505494506</v>
      </c>
      <c r="L112" s="39">
        <f t="shared" si="6"/>
        <v>0.913710098040674</v>
      </c>
      <c r="M112" s="36" t="s">
        <v>11</v>
      </c>
      <c r="N112" s="36">
        <v>-2.72555858993623</v>
      </c>
      <c r="O112" s="43">
        <v>0.057535841641802</v>
      </c>
      <c r="P112" s="36">
        <f t="shared" si="7"/>
        <v>-0.156817307416024</v>
      </c>
      <c r="Q112" s="39" t="s">
        <v>12</v>
      </c>
      <c r="R112" s="39">
        <v>-6.38807287664163</v>
      </c>
      <c r="S112" s="43">
        <v>-0.0491361618513936</v>
      </c>
      <c r="T112" s="39">
        <f t="shared" si="8"/>
        <v>0.313885382785161</v>
      </c>
      <c r="U112" s="39" t="s">
        <v>13</v>
      </c>
      <c r="V112" s="39">
        <v>0.553467539622836</v>
      </c>
      <c r="W112" s="43">
        <v>-0.334065934065934</v>
      </c>
      <c r="X112" s="39">
        <f t="shared" si="9"/>
        <v>-0.184894650599277</v>
      </c>
      <c r="Y112" s="39"/>
      <c r="Z112" s="39">
        <v>0.205604667048544</v>
      </c>
      <c r="AA112" s="43">
        <v>-0.250225428313796</v>
      </c>
      <c r="AB112" s="39">
        <f>Z112*AA112</f>
        <v>-0.0514475158755373</v>
      </c>
      <c r="AC112" s="36">
        <v>0.205458857724242</v>
      </c>
      <c r="AD112" s="39">
        <v>0.897293947626703</v>
      </c>
      <c r="AE112" s="36">
        <v>0.0254218232991407</v>
      </c>
      <c r="AF112" s="36">
        <v>-0.558626033620849</v>
      </c>
      <c r="AG112" s="39">
        <v>0.454488878944894</v>
      </c>
      <c r="AH112" s="39">
        <v>-0.0514475158755373</v>
      </c>
      <c r="AI112" s="39">
        <v>1.00360685302074</v>
      </c>
      <c r="AJ112" s="39">
        <f>AI112-AC112-AD112-AE112-AF112-AG112-AH112</f>
        <v>0.0310168949221466</v>
      </c>
    </row>
    <row r="113" spans="1:36">
      <c r="A113" s="35" t="s">
        <v>52</v>
      </c>
      <c r="B113" s="39"/>
      <c r="C113" s="40" t="s">
        <v>75</v>
      </c>
      <c r="D113" s="36" t="s">
        <v>8</v>
      </c>
      <c r="E113" s="39"/>
      <c r="F113" s="36">
        <v>0.00370727875677289</v>
      </c>
      <c r="G113" s="43">
        <v>1.66140927524854</v>
      </c>
      <c r="H113" s="36">
        <f t="shared" si="5"/>
        <v>0.00615930731243436</v>
      </c>
      <c r="I113" s="39"/>
      <c r="J113" s="36">
        <v>-0.03671388594593</v>
      </c>
      <c r="K113" s="43">
        <v>7.1967032967033</v>
      </c>
      <c r="L113" s="39">
        <f t="shared" si="6"/>
        <v>-0.264218944021863</v>
      </c>
      <c r="M113" s="36" t="s">
        <v>11</v>
      </c>
      <c r="N113" s="36">
        <v>4.19092966205995</v>
      </c>
      <c r="O113" s="43">
        <v>0.11207345286293</v>
      </c>
      <c r="P113" s="36">
        <f t="shared" si="7"/>
        <v>0.469691957932731</v>
      </c>
      <c r="Q113" s="39" t="s">
        <v>12</v>
      </c>
      <c r="R113" s="39">
        <v>4.20577193307718</v>
      </c>
      <c r="S113" s="43">
        <v>-0.0154207634470789</v>
      </c>
      <c r="T113" s="39">
        <f t="shared" si="8"/>
        <v>-0.0648562140923469</v>
      </c>
      <c r="U113" s="39" t="s">
        <v>13</v>
      </c>
      <c r="V113" s="39">
        <v>1.23098742021584</v>
      </c>
      <c r="W113" s="43">
        <v>-0.307692307692308</v>
      </c>
      <c r="X113" s="39">
        <f t="shared" si="9"/>
        <v>-0.378765360066413</v>
      </c>
      <c r="Y113" s="39"/>
      <c r="Z113" s="39">
        <v>0.145230874501078</v>
      </c>
      <c r="AA113" s="43">
        <v>-0.307692307692308</v>
      </c>
      <c r="AB113" s="39">
        <f>Z113*AA113</f>
        <v>-0.0446864229234087</v>
      </c>
      <c r="AC113" s="36">
        <v>0.0186707429172006</v>
      </c>
      <c r="AD113" s="39">
        <v>0.0906907776732445</v>
      </c>
      <c r="AE113" s="36">
        <v>-0.124980274502663</v>
      </c>
      <c r="AF113" s="36">
        <v>0.268568565967457</v>
      </c>
      <c r="AG113" s="39">
        <v>-0.0218551569447854</v>
      </c>
      <c r="AH113" s="39">
        <v>-0.0446864229234087</v>
      </c>
      <c r="AI113" s="43">
        <v>0.351648351648352</v>
      </c>
      <c r="AJ113" s="39">
        <f>AI113-AC113-AD113-AE113-AF113-AG113-AH113</f>
        <v>0.165240119461307</v>
      </c>
    </row>
    <row r="114" spans="1:36">
      <c r="A114" s="35" t="s">
        <v>52</v>
      </c>
      <c r="B114" s="39"/>
      <c r="C114" s="40" t="s">
        <v>75</v>
      </c>
      <c r="D114" s="36" t="s">
        <v>14</v>
      </c>
      <c r="E114" s="39"/>
      <c r="F114" s="36">
        <v>0.0683724777350673</v>
      </c>
      <c r="G114" s="43">
        <v>-2.83028083028085</v>
      </c>
      <c r="H114" s="36">
        <f t="shared" si="5"/>
        <v>-0.193513313052365</v>
      </c>
      <c r="I114" s="39"/>
      <c r="J114" s="36">
        <v>0.107261916212696</v>
      </c>
      <c r="K114" s="43">
        <v>4.59395604395605</v>
      </c>
      <c r="L114" s="39">
        <f t="shared" si="6"/>
        <v>0.492756528271622</v>
      </c>
      <c r="M114" s="36" t="s">
        <v>11</v>
      </c>
      <c r="N114" s="36">
        <v>2.76213548573218</v>
      </c>
      <c r="O114" s="43">
        <v>0.0860496646210924</v>
      </c>
      <c r="P114" s="36">
        <f t="shared" si="7"/>
        <v>0.237680832185272</v>
      </c>
      <c r="Q114" s="39" t="s">
        <v>12</v>
      </c>
      <c r="R114" s="39">
        <v>-1.25812081977339</v>
      </c>
      <c r="S114" s="43">
        <v>-0.0112601684030259</v>
      </c>
      <c r="T114" s="39">
        <f t="shared" si="8"/>
        <v>0.0141666523020014</v>
      </c>
      <c r="U114" s="39" t="s">
        <v>13</v>
      </c>
      <c r="V114" s="39">
        <v>1.23098742021584</v>
      </c>
      <c r="W114" s="43">
        <v>-0.307692307692308</v>
      </c>
      <c r="X114" s="39">
        <f t="shared" si="9"/>
        <v>-0.378765360066413</v>
      </c>
      <c r="Y114" s="39"/>
      <c r="Z114" s="39">
        <v>0.219865810284112</v>
      </c>
      <c r="AA114" s="43">
        <v>-0.307692307692308</v>
      </c>
      <c r="AB114" s="39">
        <f>Z114*AA114</f>
        <v>-0.0676510185489576</v>
      </c>
      <c r="AC114" s="36">
        <v>-0.121130064962899</v>
      </c>
      <c r="AD114" s="39">
        <v>-0.13792375675409</v>
      </c>
      <c r="AE114" s="36">
        <v>-0.380150728390775</v>
      </c>
      <c r="AF114" s="36">
        <v>1.22825502273331</v>
      </c>
      <c r="AG114" s="39">
        <v>-0.101674347442909</v>
      </c>
      <c r="AH114" s="39">
        <v>-0.0676510185489574</v>
      </c>
      <c r="AI114" s="43">
        <v>0.351648351648352</v>
      </c>
      <c r="AJ114" s="39">
        <f>AI114-AC114-AD114-AE114-AF114-AG114-AH114</f>
        <v>-0.0680767549853275</v>
      </c>
    </row>
    <row r="115" spans="1:36">
      <c r="A115" s="35" t="s">
        <v>52</v>
      </c>
      <c r="B115" s="39"/>
      <c r="C115" s="40" t="s">
        <v>75</v>
      </c>
      <c r="D115" s="36" t="s">
        <v>15</v>
      </c>
      <c r="E115" s="39"/>
      <c r="F115" s="36">
        <v>0.092417323910349</v>
      </c>
      <c r="G115" s="43">
        <v>-0.650335775335808</v>
      </c>
      <c r="H115" s="36">
        <f t="shared" si="5"/>
        <v>-0.0601022919996973</v>
      </c>
      <c r="I115" s="39"/>
      <c r="J115" s="36">
        <v>0.0166139142192659</v>
      </c>
      <c r="K115" s="43">
        <v>11.4065934065934</v>
      </c>
      <c r="L115" s="39">
        <f t="shared" si="6"/>
        <v>0.189508164391187</v>
      </c>
      <c r="M115" s="36" t="s">
        <v>11</v>
      </c>
      <c r="N115" s="36">
        <v>1.68946573933089</v>
      </c>
      <c r="O115" s="43">
        <v>0.101518218623485</v>
      </c>
      <c r="P115" s="36">
        <f t="shared" si="7"/>
        <v>0.171511552282281</v>
      </c>
      <c r="Q115" s="39" t="s">
        <v>12</v>
      </c>
      <c r="R115" s="39">
        <v>-2.15177318501097</v>
      </c>
      <c r="S115" s="43">
        <v>-0.0101829091960672</v>
      </c>
      <c r="T115" s="39">
        <f t="shared" si="8"/>
        <v>0.021911310953499</v>
      </c>
      <c r="U115" s="39" t="s">
        <v>13</v>
      </c>
      <c r="V115" s="39">
        <v>0.261750295432247</v>
      </c>
      <c r="W115" s="43">
        <v>-0.307692307692308</v>
      </c>
      <c r="X115" s="39">
        <f t="shared" si="9"/>
        <v>-0.0805385524406915</v>
      </c>
      <c r="Y115" s="39"/>
      <c r="Z115" s="39">
        <v>0.306550554237367</v>
      </c>
      <c r="AA115" s="43">
        <v>-0.307692307692308</v>
      </c>
      <c r="AB115" s="39">
        <f>Z115*AA115</f>
        <v>-0.0943232474576515</v>
      </c>
      <c r="AC115" s="36">
        <v>-0.00552872450933205</v>
      </c>
      <c r="AD115" s="39">
        <v>-0.139286100499637</v>
      </c>
      <c r="AE115" s="36">
        <v>-0.308399710075503</v>
      </c>
      <c r="AF115" s="36">
        <v>0.815989576883</v>
      </c>
      <c r="AG115" s="39">
        <v>-0.00826244329224479</v>
      </c>
      <c r="AH115" s="39">
        <v>-0.0943232474576512</v>
      </c>
      <c r="AI115" s="43">
        <v>0.351648351648352</v>
      </c>
      <c r="AJ115" s="39">
        <f>AI115-AC115-AD115-AE115-AF115-AG115-AH115</f>
        <v>0.09145900059972</v>
      </c>
    </row>
    <row r="116" spans="1:36">
      <c r="A116" s="35" t="s">
        <v>53</v>
      </c>
      <c r="B116" s="39"/>
      <c r="C116" s="40" t="s">
        <v>75</v>
      </c>
      <c r="D116" s="36" t="s">
        <v>8</v>
      </c>
      <c r="E116" s="39"/>
      <c r="F116" s="36">
        <v>-0.0407687703229461</v>
      </c>
      <c r="G116" s="43">
        <v>1.66140927524854</v>
      </c>
      <c r="H116" s="36">
        <f t="shared" si="5"/>
        <v>-0.0677336131550201</v>
      </c>
      <c r="I116" s="39"/>
      <c r="J116" s="36">
        <v>-0.0263337931227812</v>
      </c>
      <c r="K116" s="43">
        <v>7.94450549450549</v>
      </c>
      <c r="L116" s="39">
        <f t="shared" si="6"/>
        <v>-0.209208964155106</v>
      </c>
      <c r="M116" s="36" t="s">
        <v>11</v>
      </c>
      <c r="N116" s="36">
        <v>-4.90879189449932</v>
      </c>
      <c r="O116" s="43">
        <v>0.106879120879122</v>
      </c>
      <c r="P116" s="36">
        <f t="shared" si="7"/>
        <v>-0.524647362262647</v>
      </c>
      <c r="Q116" s="39" t="s">
        <v>12</v>
      </c>
      <c r="R116" s="39">
        <v>-3.36997922430899</v>
      </c>
      <c r="S116" s="43">
        <v>-0.0296923076923078</v>
      </c>
      <c r="T116" s="39">
        <f t="shared" si="8"/>
        <v>0.100062460044867</v>
      </c>
      <c r="U116" s="39" t="s">
        <v>13</v>
      </c>
      <c r="V116" s="39">
        <v>-0.191192473989355</v>
      </c>
      <c r="W116" s="43">
        <v>0.142857142857143</v>
      </c>
      <c r="X116" s="39">
        <f t="shared" si="9"/>
        <v>-0.0273132105699079</v>
      </c>
      <c r="Y116" s="39"/>
      <c r="Z116" s="39">
        <v>0.0310830101048633</v>
      </c>
      <c r="AA116" s="43">
        <v>0.142857142857143</v>
      </c>
      <c r="AB116" s="39">
        <f>Z116*AA116</f>
        <v>0.00444043001498048</v>
      </c>
      <c r="AC116" s="36">
        <v>-0.133693696794008</v>
      </c>
      <c r="AD116" s="39">
        <v>-0.229291536567438</v>
      </c>
      <c r="AE116" s="36">
        <v>-0.269349151478401</v>
      </c>
      <c r="AF116" s="36">
        <v>-0.358411940343981</v>
      </c>
      <c r="AG116" s="39">
        <v>-0.0385623602277046</v>
      </c>
      <c r="AH116" s="39">
        <v>0.00444043001498046</v>
      </c>
      <c r="AI116" s="43">
        <v>-1.16483516483516</v>
      </c>
      <c r="AJ116" s="39">
        <f>AI116-AC116-AD116-AE116-AF116-AG116-AH116</f>
        <v>-0.139966909438608</v>
      </c>
    </row>
    <row r="117" spans="1:36">
      <c r="A117" s="35" t="s">
        <v>53</v>
      </c>
      <c r="B117" s="39"/>
      <c r="C117" s="40" t="s">
        <v>75</v>
      </c>
      <c r="D117" s="36" t="s">
        <v>14</v>
      </c>
      <c r="E117" s="39"/>
      <c r="F117" s="36">
        <v>0.0620712186032246</v>
      </c>
      <c r="G117" s="43">
        <v>-2.83028083028085</v>
      </c>
      <c r="H117" s="36">
        <f t="shared" si="5"/>
        <v>-0.175678980124879</v>
      </c>
      <c r="I117" s="39"/>
      <c r="J117" s="36">
        <v>-0.0522962644590946</v>
      </c>
      <c r="K117" s="43">
        <v>4.20989010989011</v>
      </c>
      <c r="L117" s="39">
        <f t="shared" si="6"/>
        <v>-0.22016152653054</v>
      </c>
      <c r="M117" s="36" t="s">
        <v>11</v>
      </c>
      <c r="N117" s="36">
        <v>-0.704106172409326</v>
      </c>
      <c r="O117" s="43">
        <v>0.0909629843840369</v>
      </c>
      <c r="P117" s="36">
        <f t="shared" si="7"/>
        <v>-0.0640475987655735</v>
      </c>
      <c r="Q117" s="39" t="s">
        <v>12</v>
      </c>
      <c r="R117" s="39">
        <v>-2.28157864399921</v>
      </c>
      <c r="S117" s="43">
        <v>-0.00494505494505484</v>
      </c>
      <c r="T117" s="39">
        <f t="shared" si="8"/>
        <v>0.0112825317560398</v>
      </c>
      <c r="U117" s="39" t="s">
        <v>13</v>
      </c>
      <c r="V117" s="39">
        <v>-0.191192473989355</v>
      </c>
      <c r="W117" s="43">
        <v>0.142857142857143</v>
      </c>
      <c r="X117" s="39">
        <f t="shared" si="9"/>
        <v>-0.0273132105699079</v>
      </c>
      <c r="Y117" s="39"/>
      <c r="Z117" s="39">
        <v>-0.800247498507677</v>
      </c>
      <c r="AA117" s="43">
        <v>0.142857142857143</v>
      </c>
      <c r="AB117" s="39">
        <f>Z117*AA117</f>
        <v>-0.114321071215383</v>
      </c>
      <c r="AC117" s="36">
        <v>-0.345244119986984</v>
      </c>
      <c r="AD117" s="39">
        <v>-0.341180539754442</v>
      </c>
      <c r="AE117" s="36">
        <v>-0.0246255771648007</v>
      </c>
      <c r="AF117" s="36">
        <v>-0.170055614119175</v>
      </c>
      <c r="AG117" s="39">
        <v>0.100870962459539</v>
      </c>
      <c r="AH117" s="39">
        <v>-0.114321071215382</v>
      </c>
      <c r="AI117" s="43">
        <v>-1.16483516483516</v>
      </c>
      <c r="AJ117" s="39">
        <f>AI117-AC117-AD117-AE117-AF117-AG117-AH117</f>
        <v>-0.270279205053915</v>
      </c>
    </row>
    <row r="118" spans="1:36">
      <c r="A118" s="35" t="s">
        <v>53</v>
      </c>
      <c r="B118" s="39"/>
      <c r="C118" s="40" t="s">
        <v>75</v>
      </c>
      <c r="D118" s="36" t="s">
        <v>15</v>
      </c>
      <c r="E118" s="39"/>
      <c r="F118" s="36">
        <v>0.0800087669135373</v>
      </c>
      <c r="G118" s="43">
        <v>-0.650335775335808</v>
      </c>
      <c r="H118" s="36">
        <f t="shared" si="5"/>
        <v>-0.0520325634643772</v>
      </c>
      <c r="I118" s="39"/>
      <c r="J118" s="36">
        <v>-0.0408142311519386</v>
      </c>
      <c r="K118" s="43">
        <v>11.656043956044</v>
      </c>
      <c r="L118" s="39">
        <f t="shared" si="6"/>
        <v>-0.475732472339137</v>
      </c>
      <c r="M118" s="36" t="s">
        <v>11</v>
      </c>
      <c r="N118" s="36">
        <v>-6.30468793384938</v>
      </c>
      <c r="O118" s="43">
        <v>0.102399267399268</v>
      </c>
      <c r="P118" s="36">
        <f t="shared" si="7"/>
        <v>-0.645595425607181</v>
      </c>
      <c r="Q118" s="39" t="s">
        <v>12</v>
      </c>
      <c r="R118" s="39">
        <v>-4.89508326991465</v>
      </c>
      <c r="S118" s="43">
        <v>-0.0143296703296705</v>
      </c>
      <c r="T118" s="39">
        <f t="shared" si="8"/>
        <v>0.0701449294941624</v>
      </c>
      <c r="U118" s="39" t="s">
        <v>13</v>
      </c>
      <c r="V118" s="39">
        <v>-0.226084563513895</v>
      </c>
      <c r="W118" s="43">
        <v>0.142857142857143</v>
      </c>
      <c r="X118" s="39">
        <f t="shared" si="9"/>
        <v>-0.0322977947876993</v>
      </c>
      <c r="Y118" s="39"/>
      <c r="Z118" s="39">
        <v>-0.504249711783011</v>
      </c>
      <c r="AA118" s="43">
        <v>0.142857142857143</v>
      </c>
      <c r="AB118" s="39">
        <f>Z118*AA118</f>
        <v>-0.0720356731118588</v>
      </c>
      <c r="AC118" s="36">
        <v>-0.0424111942998402</v>
      </c>
      <c r="AD118" s="39">
        <v>-0.428583687148329</v>
      </c>
      <c r="AE118" s="36">
        <v>-0.274976780473627</v>
      </c>
      <c r="AF118" s="36">
        <v>-0.27294518984835</v>
      </c>
      <c r="AG118" s="39">
        <v>0.0278908892405371</v>
      </c>
      <c r="AH118" s="39">
        <v>-0.0720356731118587</v>
      </c>
      <c r="AI118" s="43">
        <v>-1.16483516483516</v>
      </c>
      <c r="AJ118" s="39">
        <f>AI118-AC118-AD118-AE118-AF118-AG118-AH118</f>
        <v>-0.101773529193692</v>
      </c>
    </row>
    <row r="119" spans="1:36">
      <c r="A119" s="35" t="s">
        <v>54</v>
      </c>
      <c r="B119" s="39"/>
      <c r="C119" s="40" t="s">
        <v>75</v>
      </c>
      <c r="D119" s="36" t="s">
        <v>8</v>
      </c>
      <c r="E119" s="39"/>
      <c r="F119" s="36">
        <v>0.0566980092484882</v>
      </c>
      <c r="G119" s="43">
        <v>1.66140927524854</v>
      </c>
      <c r="H119" s="36">
        <f t="shared" si="5"/>
        <v>0.0941985984535658</v>
      </c>
      <c r="I119" s="39"/>
      <c r="J119" s="36">
        <v>-0.00802923789301578</v>
      </c>
      <c r="K119" s="43">
        <v>6.76153846153846</v>
      </c>
      <c r="L119" s="39">
        <f t="shared" si="6"/>
        <v>-0.0542900008304682</v>
      </c>
      <c r="M119" s="36" t="s">
        <v>11</v>
      </c>
      <c r="N119" s="36">
        <v>0.952251524546785</v>
      </c>
      <c r="O119" s="43">
        <v>0.102373908143135</v>
      </c>
      <c r="P119" s="36">
        <f t="shared" si="7"/>
        <v>0.0974857101031128</v>
      </c>
      <c r="Q119" s="39" t="s">
        <v>12</v>
      </c>
      <c r="R119" s="39">
        <v>1.54632434041108</v>
      </c>
      <c r="S119" s="43">
        <v>-0.000901662440123746</v>
      </c>
      <c r="T119" s="39">
        <f t="shared" si="8"/>
        <v>-0.0013942625779978</v>
      </c>
      <c r="U119" s="39" t="s">
        <v>13</v>
      </c>
      <c r="V119" s="39">
        <v>0.932806954899273</v>
      </c>
      <c r="W119" s="43">
        <v>-0.104395604395604</v>
      </c>
      <c r="X119" s="39">
        <f t="shared" si="9"/>
        <v>-0.0973809458411325</v>
      </c>
      <c r="Y119" s="39"/>
      <c r="Z119" s="39">
        <v>0.522647498384348</v>
      </c>
      <c r="AA119" s="43">
        <v>-0.104395604395604</v>
      </c>
      <c r="AB119" s="39">
        <f>Z119*AA119</f>
        <v>-0.0545621014796845</v>
      </c>
      <c r="AC119" s="36">
        <v>0.0796279863184193</v>
      </c>
      <c r="AD119" s="39">
        <v>-0.0719596549225119</v>
      </c>
      <c r="AE119" s="36">
        <v>-0.102403970166944</v>
      </c>
      <c r="AF119" s="36">
        <v>0.357059532329702</v>
      </c>
      <c r="AG119" s="39">
        <v>-0.00478828231548671</v>
      </c>
      <c r="AH119" s="39">
        <v>-0.0545621014796847</v>
      </c>
      <c r="AI119" s="43">
        <v>0.252747252747253</v>
      </c>
      <c r="AJ119" s="39">
        <f>AI119-AC119-AD119-AE119-AF119-AG119-AH119</f>
        <v>0.049773742983759</v>
      </c>
    </row>
    <row r="120" spans="1:36">
      <c r="A120" s="35" t="s">
        <v>54</v>
      </c>
      <c r="B120" s="39"/>
      <c r="C120" s="40" t="s">
        <v>75</v>
      </c>
      <c r="D120" s="36" t="s">
        <v>14</v>
      </c>
      <c r="E120" s="39"/>
      <c r="F120" s="36">
        <v>0.0377017521429785</v>
      </c>
      <c r="G120" s="43">
        <v>-2.83028083028085</v>
      </c>
      <c r="H120" s="36">
        <f t="shared" si="5"/>
        <v>-0.106706546358272</v>
      </c>
      <c r="I120" s="39"/>
      <c r="J120" s="36">
        <v>0.0445953109779986</v>
      </c>
      <c r="K120" s="43">
        <v>3.92197802197802</v>
      </c>
      <c r="L120" s="39">
        <f t="shared" si="6"/>
        <v>0.174901829538986</v>
      </c>
      <c r="M120" s="36" t="s">
        <v>11</v>
      </c>
      <c r="N120" s="36">
        <v>2.06343249394068</v>
      </c>
      <c r="O120" s="43">
        <v>0.0837112254833781</v>
      </c>
      <c r="P120" s="36">
        <f t="shared" si="7"/>
        <v>0.172732462769997</v>
      </c>
      <c r="Q120" s="39" t="s">
        <v>12</v>
      </c>
      <c r="R120" s="39">
        <v>-2.1788216891247</v>
      </c>
      <c r="S120" s="43">
        <v>-0.012317429406037</v>
      </c>
      <c r="T120" s="39">
        <f t="shared" si="8"/>
        <v>0.0268374823441358</v>
      </c>
      <c r="U120" s="39" t="s">
        <v>13</v>
      </c>
      <c r="V120" s="39">
        <v>0.932806954899273</v>
      </c>
      <c r="W120" s="43">
        <v>-0.104395604395604</v>
      </c>
      <c r="X120" s="39">
        <f t="shared" si="9"/>
        <v>-0.0973809458411325</v>
      </c>
      <c r="Y120" s="39"/>
      <c r="Z120" s="39">
        <v>0.510712125959586</v>
      </c>
      <c r="AA120" s="43">
        <v>-0.104395604395604</v>
      </c>
      <c r="AB120" s="39">
        <f>Z120*AA120</f>
        <v>-0.0533161010617148</v>
      </c>
      <c r="AC120" s="36">
        <v>-0.153001968201561</v>
      </c>
      <c r="AD120" s="39">
        <v>0.0705030964830228</v>
      </c>
      <c r="AE120" s="36">
        <v>0.00538816221529943</v>
      </c>
      <c r="AF120" s="36">
        <v>0.338690687568377</v>
      </c>
      <c r="AG120" s="39">
        <v>0.0261248211432</v>
      </c>
      <c r="AH120" s="39">
        <v>-0.0533161010617151</v>
      </c>
      <c r="AI120" s="43">
        <v>0.252747252747253</v>
      </c>
      <c r="AJ120" s="39">
        <f>AI120-AC120-AD120-AE120-AF120-AG120-AH120</f>
        <v>0.01835855460063</v>
      </c>
    </row>
    <row r="121" spans="1:36">
      <c r="A121" s="35" t="s">
        <v>54</v>
      </c>
      <c r="B121" s="39"/>
      <c r="C121" s="40" t="s">
        <v>75</v>
      </c>
      <c r="D121" s="36" t="s">
        <v>15</v>
      </c>
      <c r="E121" s="39"/>
      <c r="F121" s="36">
        <v>0.100438144943154</v>
      </c>
      <c r="G121" s="43">
        <v>-0.650335775335808</v>
      </c>
      <c r="H121" s="36">
        <f t="shared" si="5"/>
        <v>-0.0653185188648963</v>
      </c>
      <c r="I121" s="39"/>
      <c r="J121" s="36">
        <v>0.0120106732871512</v>
      </c>
      <c r="K121" s="43">
        <v>11.2148351648352</v>
      </c>
      <c r="L121" s="39">
        <f t="shared" si="6"/>
        <v>0.13469772113409</v>
      </c>
      <c r="M121" s="36" t="s">
        <v>11</v>
      </c>
      <c r="N121" s="36">
        <v>1.82692797371321</v>
      </c>
      <c r="O121" s="43">
        <v>0.0935721329952083</v>
      </c>
      <c r="P121" s="36">
        <f t="shared" si="7"/>
        <v>0.170949547328959</v>
      </c>
      <c r="Q121" s="39" t="s">
        <v>12</v>
      </c>
      <c r="R121" s="39">
        <v>-2.76588183172075</v>
      </c>
      <c r="S121" s="43">
        <v>-0.00634685826993515</v>
      </c>
      <c r="T121" s="39">
        <f t="shared" si="8"/>
        <v>0.0175546599773202</v>
      </c>
      <c r="U121" s="39" t="s">
        <v>13</v>
      </c>
      <c r="V121" s="39">
        <v>0.503982737214428</v>
      </c>
      <c r="W121" s="43">
        <v>-0.104395604395604</v>
      </c>
      <c r="X121" s="39">
        <f t="shared" si="9"/>
        <v>-0.0526135824564511</v>
      </c>
      <c r="Y121" s="39"/>
      <c r="Z121" s="39">
        <v>0.562765680593748</v>
      </c>
      <c r="AA121" s="43">
        <v>-0.104395604395604</v>
      </c>
      <c r="AB121" s="39">
        <f>Z121*AA121</f>
        <v>-0.0587502633586878</v>
      </c>
      <c r="AC121" s="36">
        <v>-0.022594108804474</v>
      </c>
      <c r="AD121" s="39">
        <v>-0.104862503068042</v>
      </c>
      <c r="AE121" s="36">
        <v>-0.180745007360626</v>
      </c>
      <c r="AF121" s="36">
        <v>0.580095909459058</v>
      </c>
      <c r="AG121" s="39">
        <v>0.00684816263836407</v>
      </c>
      <c r="AH121" s="39">
        <v>-0.058750263358688</v>
      </c>
      <c r="AI121" s="43">
        <v>0.252747252747253</v>
      </c>
      <c r="AJ121" s="39">
        <f>AI121-AC121-AD121-AE121-AF121-AG121-AH121</f>
        <v>0.032755063241661</v>
      </c>
    </row>
    <row r="122" spans="1:36">
      <c r="A122" s="35" t="s">
        <v>55</v>
      </c>
      <c r="B122" s="39"/>
      <c r="C122" s="40" t="s">
        <v>75</v>
      </c>
      <c r="D122" s="36" t="s">
        <v>8</v>
      </c>
      <c r="E122" s="39"/>
      <c r="F122" s="36">
        <v>0.0288400034946226</v>
      </c>
      <c r="G122" s="43">
        <v>1.66140927524854</v>
      </c>
      <c r="H122" s="36">
        <f t="shared" si="5"/>
        <v>0.0479150493041663</v>
      </c>
      <c r="I122" s="39"/>
      <c r="J122" s="36">
        <v>-0.0597077623468318</v>
      </c>
      <c r="K122" s="43">
        <v>10.417032967033</v>
      </c>
      <c r="L122" s="39">
        <f t="shared" si="6"/>
        <v>-0.621977728754718</v>
      </c>
      <c r="M122" s="36" t="s">
        <v>11</v>
      </c>
      <c r="N122" s="36">
        <v>-4.30200043173504</v>
      </c>
      <c r="O122" s="43">
        <v>0.0635576923076923</v>
      </c>
      <c r="P122" s="36">
        <f t="shared" si="7"/>
        <v>-0.273425219747775</v>
      </c>
      <c r="Q122" s="39" t="s">
        <v>12</v>
      </c>
      <c r="R122" s="39">
        <v>-1.03904465061927</v>
      </c>
      <c r="S122" s="43">
        <v>-0.065467032967033</v>
      </c>
      <c r="T122" s="39">
        <f t="shared" si="8"/>
        <v>0.068023170396311</v>
      </c>
      <c r="U122" s="39" t="s">
        <v>13</v>
      </c>
      <c r="V122" s="39">
        <v>0.349821724106921</v>
      </c>
      <c r="W122" s="43">
        <v>0.637362637362637</v>
      </c>
      <c r="X122" s="39">
        <f t="shared" si="9"/>
        <v>0.222963296683532</v>
      </c>
      <c r="Y122" s="39"/>
      <c r="Z122" s="39">
        <v>0.414381584365162</v>
      </c>
      <c r="AA122" s="43">
        <v>0.637362637362637</v>
      </c>
      <c r="AB122" s="39">
        <f>Z122*AA122</f>
        <v>0.264111339485488</v>
      </c>
      <c r="AC122" s="36">
        <v>-0.104377333142868</v>
      </c>
      <c r="AD122" s="39">
        <v>-0.197477606983809</v>
      </c>
      <c r="AE122" s="36">
        <v>-0.232014399718163</v>
      </c>
      <c r="AF122" s="36">
        <v>-0.0950145786309054</v>
      </c>
      <c r="AG122" s="39">
        <v>-0.012054843141509</v>
      </c>
      <c r="AH122" s="39">
        <v>0.264111339485488</v>
      </c>
      <c r="AI122" s="43">
        <v>-0.153846153846154</v>
      </c>
      <c r="AJ122" s="39">
        <f>AI122-AC122-AD122-AE122-AF122-AG122-AH122</f>
        <v>0.222981268285612</v>
      </c>
    </row>
    <row r="123" spans="1:36">
      <c r="A123" s="35" t="s">
        <v>55</v>
      </c>
      <c r="B123" s="39"/>
      <c r="C123" s="40" t="s">
        <v>75</v>
      </c>
      <c r="D123" s="36" t="s">
        <v>14</v>
      </c>
      <c r="E123" s="39"/>
      <c r="F123" s="36">
        <v>-0.0161487570870734</v>
      </c>
      <c r="G123" s="43">
        <v>-2.83028083028085</v>
      </c>
      <c r="H123" s="36">
        <f t="shared" si="5"/>
        <v>0.0457055176164059</v>
      </c>
      <c r="I123" s="39"/>
      <c r="J123" s="36">
        <v>0.0133787157225678</v>
      </c>
      <c r="K123" s="43">
        <v>2.15769230769231</v>
      </c>
      <c r="L123" s="39">
        <f t="shared" si="6"/>
        <v>0.0288671520013867</v>
      </c>
      <c r="M123" s="36" t="s">
        <v>11</v>
      </c>
      <c r="N123" s="36">
        <v>4.22262529737639</v>
      </c>
      <c r="O123" s="43">
        <v>0.0838963505630193</v>
      </c>
      <c r="P123" s="36">
        <f t="shared" si="7"/>
        <v>0.354262852244963</v>
      </c>
      <c r="Q123" s="39" t="s">
        <v>12</v>
      </c>
      <c r="R123" s="39">
        <v>2.95990279606453</v>
      </c>
      <c r="S123" s="43">
        <v>0.00210283543616826</v>
      </c>
      <c r="T123" s="39">
        <f t="shared" si="8"/>
        <v>0.00622418848717801</v>
      </c>
      <c r="U123" s="39" t="s">
        <v>13</v>
      </c>
      <c r="V123" s="39">
        <v>0.349821724106921</v>
      </c>
      <c r="W123" s="43">
        <v>0.637362637362637</v>
      </c>
      <c r="X123" s="39">
        <f t="shared" si="9"/>
        <v>0.222963296683532</v>
      </c>
      <c r="Y123" s="39"/>
      <c r="Z123" s="39">
        <v>0.268848567790187</v>
      </c>
      <c r="AA123" s="43">
        <v>0.637362637362637</v>
      </c>
      <c r="AB123" s="39">
        <f>Z123*AA123</f>
        <v>0.171354032217921</v>
      </c>
      <c r="AC123" s="36">
        <v>-0.182487429467711</v>
      </c>
      <c r="AD123" s="39">
        <v>-0.0827505546680633</v>
      </c>
      <c r="AE123" s="36">
        <v>0.06241849675272</v>
      </c>
      <c r="AF123" s="36">
        <v>-0.0577077019461429</v>
      </c>
      <c r="AG123" s="39">
        <v>0.00714211501197681</v>
      </c>
      <c r="AH123" s="39">
        <v>0.171354032217922</v>
      </c>
      <c r="AI123" s="43">
        <v>-0.153846153846154</v>
      </c>
      <c r="AJ123" s="39">
        <f>AI123-AC123-AD123-AE123-AF123-AG123-AH123</f>
        <v>-0.0718151117468556</v>
      </c>
    </row>
    <row r="124" spans="1:36">
      <c r="A124" s="35" t="s">
        <v>55</v>
      </c>
      <c r="B124" s="39"/>
      <c r="C124" s="40" t="s">
        <v>75</v>
      </c>
      <c r="D124" s="36" t="s">
        <v>15</v>
      </c>
      <c r="E124" s="39"/>
      <c r="F124" s="36">
        <v>0.0617410870203377</v>
      </c>
      <c r="G124" s="43">
        <v>-0.650335775335808</v>
      </c>
      <c r="H124" s="36">
        <f t="shared" si="5"/>
        <v>-0.0401524376974469</v>
      </c>
      <c r="I124" s="39"/>
      <c r="J124" s="36">
        <v>-0.0288825398316775</v>
      </c>
      <c r="K124" s="43">
        <v>11.9549450549451</v>
      </c>
      <c r="L124" s="39">
        <f t="shared" si="6"/>
        <v>-0.345289176734968</v>
      </c>
      <c r="M124" s="36" t="s">
        <v>11</v>
      </c>
      <c r="N124" s="36">
        <v>-2.36634393432403</v>
      </c>
      <c r="O124" s="43">
        <v>0.0740968406593407</v>
      </c>
      <c r="P124" s="36">
        <f t="shared" si="7"/>
        <v>-0.175338609446805</v>
      </c>
      <c r="Q124" s="39" t="s">
        <v>12</v>
      </c>
      <c r="R124" s="39">
        <v>-2.40032967318974</v>
      </c>
      <c r="S124" s="43">
        <v>-0.0286298076923077</v>
      </c>
      <c r="T124" s="39">
        <f t="shared" si="8"/>
        <v>0.0687209769415621</v>
      </c>
      <c r="U124" s="39" t="s">
        <v>13</v>
      </c>
      <c r="V124" s="39">
        <v>0.505181857225317</v>
      </c>
      <c r="W124" s="43">
        <v>0.637362637362637</v>
      </c>
      <c r="X124" s="39">
        <f t="shared" si="9"/>
        <v>0.321984040868883</v>
      </c>
      <c r="Y124" s="39"/>
      <c r="Z124" s="39">
        <v>0.355024086689165</v>
      </c>
      <c r="AA124" s="43">
        <v>0.637362637362637</v>
      </c>
      <c r="AB124" s="39">
        <f>Z124*AA124</f>
        <v>0.226279088219468</v>
      </c>
      <c r="AC124" s="36">
        <v>0.0168843237217721</v>
      </c>
      <c r="AD124" s="39">
        <v>-0.691395989670982</v>
      </c>
      <c r="AE124" s="36">
        <v>-0.5415567978923</v>
      </c>
      <c r="AF124" s="36">
        <v>0.801300070619463</v>
      </c>
      <c r="AG124" s="39">
        <v>-0.0292387046917602</v>
      </c>
      <c r="AH124" s="39">
        <v>0.226279088219468</v>
      </c>
      <c r="AI124" s="43">
        <v>-0.153846153846154</v>
      </c>
      <c r="AJ124" s="39">
        <f>AI124-AC124-AD124-AE124-AF124-AG124-AH124</f>
        <v>0.0638818558481851</v>
      </c>
    </row>
    <row r="125" spans="1:36">
      <c r="A125" s="35" t="s">
        <v>56</v>
      </c>
      <c r="B125" s="39"/>
      <c r="C125" s="40" t="s">
        <v>75</v>
      </c>
      <c r="D125" s="36" t="s">
        <v>8</v>
      </c>
      <c r="E125" s="39"/>
      <c r="F125" s="36">
        <v>0.362844212684621</v>
      </c>
      <c r="G125" s="43">
        <v>1.66140927524854</v>
      </c>
      <c r="H125" s="36">
        <f t="shared" si="5"/>
        <v>0.602832740424483</v>
      </c>
      <c r="I125" s="39"/>
      <c r="J125" s="36">
        <v>0.0717669405523045</v>
      </c>
      <c r="K125" s="43">
        <v>6.2565934065934</v>
      </c>
      <c r="L125" s="39">
        <f t="shared" si="6"/>
        <v>0.449016567070929</v>
      </c>
      <c r="M125" s="36" t="s">
        <v>11</v>
      </c>
      <c r="N125" s="36">
        <v>9.40169128521317</v>
      </c>
      <c r="O125" s="43">
        <v>0.120739577882435</v>
      </c>
      <c r="P125" s="36">
        <f t="shared" si="7"/>
        <v>1.13515623715761</v>
      </c>
      <c r="Q125" s="39" t="s">
        <v>12</v>
      </c>
      <c r="R125" s="39">
        <v>-2.18222058901177</v>
      </c>
      <c r="S125" s="43">
        <v>-0.0168847025989881</v>
      </c>
      <c r="T125" s="39">
        <f t="shared" si="8"/>
        <v>0.0368461456508524</v>
      </c>
      <c r="U125" s="39" t="s">
        <v>13</v>
      </c>
      <c r="V125" s="39">
        <v>-1.53442586924018</v>
      </c>
      <c r="W125" s="43">
        <v>0.324175824175824</v>
      </c>
      <c r="X125" s="39">
        <f t="shared" si="9"/>
        <v>-0.497423770797641</v>
      </c>
      <c r="Y125" s="39"/>
      <c r="Z125" s="39">
        <v>0.306654521539213</v>
      </c>
      <c r="AA125" s="43">
        <v>0.324175824175824</v>
      </c>
      <c r="AB125" s="39">
        <f>Z125*AA125</f>
        <v>0.0994099822572174</v>
      </c>
      <c r="AC125" s="36">
        <v>0.505241132156108</v>
      </c>
      <c r="AD125" s="39">
        <v>-0.188957459648542</v>
      </c>
      <c r="AE125" s="36">
        <v>-0.221266633231741</v>
      </c>
      <c r="AF125" s="36">
        <v>-0.425213633748023</v>
      </c>
      <c r="AG125" s="39">
        <v>0.0118316133719602</v>
      </c>
      <c r="AH125" s="39">
        <v>0.0994099822572175</v>
      </c>
      <c r="AI125" s="43">
        <v>-0.395604395604396</v>
      </c>
      <c r="AJ125" s="39">
        <f>AI125-AC125-AD125-AE125-AF125-AG125-AH125</f>
        <v>-0.176649396761376</v>
      </c>
    </row>
    <row r="126" spans="1:36">
      <c r="A126" s="35" t="s">
        <v>56</v>
      </c>
      <c r="B126" s="39"/>
      <c r="C126" s="40" t="s">
        <v>75</v>
      </c>
      <c r="D126" s="36" t="s">
        <v>14</v>
      </c>
      <c r="E126" s="39"/>
      <c r="F126" s="36">
        <v>0.236990695002543</v>
      </c>
      <c r="G126" s="43">
        <v>-2.83028083028085</v>
      </c>
      <c r="H126" s="36">
        <f t="shared" si="5"/>
        <v>-0.670750221020633</v>
      </c>
      <c r="I126" s="39"/>
      <c r="J126" s="36">
        <v>-0.255685093354795</v>
      </c>
      <c r="K126" s="43">
        <v>8.03461538461539</v>
      </c>
      <c r="L126" s="39">
        <f t="shared" si="6"/>
        <v>-2.05433138468526</v>
      </c>
      <c r="M126" s="36" t="s">
        <v>11</v>
      </c>
      <c r="N126" s="36">
        <v>-0.401186251000808</v>
      </c>
      <c r="O126" s="43">
        <v>0.0293650793650769</v>
      </c>
      <c r="P126" s="36">
        <f t="shared" si="7"/>
        <v>-0.0117808661008164</v>
      </c>
      <c r="Q126" s="39" t="s">
        <v>12</v>
      </c>
      <c r="R126" s="39">
        <v>-4.09345580950821</v>
      </c>
      <c r="S126" s="43">
        <v>-0.0676260247688819</v>
      </c>
      <c r="T126" s="39">
        <f t="shared" si="8"/>
        <v>0.276824143964126</v>
      </c>
      <c r="U126" s="39" t="s">
        <v>13</v>
      </c>
      <c r="V126" s="39">
        <v>-1.53442586924018</v>
      </c>
      <c r="W126" s="43">
        <v>0.324175824175824</v>
      </c>
      <c r="X126" s="39">
        <f t="shared" si="9"/>
        <v>-0.497423770797641</v>
      </c>
      <c r="Y126" s="39"/>
      <c r="Z126" s="39">
        <v>-0.172970970020319</v>
      </c>
      <c r="AA126" s="43">
        <v>0.324175824175824</v>
      </c>
      <c r="AB126" s="39">
        <f>Z126*AA126</f>
        <v>-0.0560730067648287</v>
      </c>
      <c r="AC126" s="36">
        <v>-0.381872651683918</v>
      </c>
      <c r="AD126" s="39">
        <v>-0.380497598543621</v>
      </c>
      <c r="AE126" s="36">
        <v>0.015720939085037</v>
      </c>
      <c r="AF126" s="36">
        <v>0.17176601582705</v>
      </c>
      <c r="AG126" s="39">
        <v>0.0403213143607951</v>
      </c>
      <c r="AH126" s="39">
        <v>-0.0560730067648286</v>
      </c>
      <c r="AI126" s="43">
        <v>-0.395604395604396</v>
      </c>
      <c r="AJ126" s="39">
        <f>AI126-AC126-AD126-AE126-AF126-AG126-AH126</f>
        <v>0.195030592115089</v>
      </c>
    </row>
    <row r="127" spans="1:36">
      <c r="A127" s="35" t="s">
        <v>56</v>
      </c>
      <c r="B127" s="39"/>
      <c r="C127" s="40" t="s">
        <v>75</v>
      </c>
      <c r="D127" s="36" t="s">
        <v>15</v>
      </c>
      <c r="E127" s="39"/>
      <c r="F127" s="36">
        <v>0.272869413755535</v>
      </c>
      <c r="G127" s="43">
        <v>-0.650335775335808</v>
      </c>
      <c r="H127" s="36">
        <f t="shared" si="5"/>
        <v>-0.177456741760133</v>
      </c>
      <c r="I127" s="39"/>
      <c r="J127" s="36">
        <v>-0.0324749417689395</v>
      </c>
      <c r="K127" s="43">
        <v>13.4164835164835</v>
      </c>
      <c r="L127" s="39">
        <f t="shared" si="6"/>
        <v>-0.435699520941738</v>
      </c>
      <c r="M127" s="36" t="s">
        <v>11</v>
      </c>
      <c r="N127" s="36">
        <v>6.01538455288121</v>
      </c>
      <c r="O127" s="43">
        <v>0.0755120879120879</v>
      </c>
      <c r="P127" s="36">
        <f t="shared" si="7"/>
        <v>0.454234247182181</v>
      </c>
      <c r="Q127" s="39" t="s">
        <v>12</v>
      </c>
      <c r="R127" s="39">
        <v>2.12040073036701</v>
      </c>
      <c r="S127" s="43">
        <v>-0.0376307692307692</v>
      </c>
      <c r="T127" s="39">
        <f t="shared" si="8"/>
        <v>-0.0797923105611954</v>
      </c>
      <c r="U127" s="39" t="s">
        <v>13</v>
      </c>
      <c r="V127" s="39">
        <v>-0.11974858754449</v>
      </c>
      <c r="W127" s="43">
        <v>0.324175824175824</v>
      </c>
      <c r="X127" s="39">
        <f t="shared" si="9"/>
        <v>-0.0388195970611259</v>
      </c>
      <c r="Y127" s="39"/>
      <c r="Z127" s="39">
        <v>0.438113099491784</v>
      </c>
      <c r="AA127" s="43">
        <v>0.324175824175824</v>
      </c>
      <c r="AB127" s="39">
        <f>Z127*AA127</f>
        <v>0.142025675109974</v>
      </c>
      <c r="AC127" s="36">
        <v>0.0269020650094931</v>
      </c>
      <c r="AD127" s="39">
        <v>-1.48043121386585</v>
      </c>
      <c r="AE127" s="36">
        <v>-1.26686128077164</v>
      </c>
      <c r="AF127" s="36">
        <v>2.28015350918458</v>
      </c>
      <c r="AG127" s="39">
        <v>-0.0855255587667611</v>
      </c>
      <c r="AH127" s="39">
        <v>0.142025675109974</v>
      </c>
      <c r="AI127" s="43">
        <v>-0.395604395604396</v>
      </c>
      <c r="AJ127" s="39">
        <f>AI127-AC127-AD127-AE127-AF127-AG127-AH127</f>
        <v>-0.0118675915041922</v>
      </c>
    </row>
    <row r="128" spans="1:36">
      <c r="A128" s="35" t="s">
        <v>57</v>
      </c>
      <c r="B128" s="39"/>
      <c r="C128" s="40" t="s">
        <v>75</v>
      </c>
      <c r="D128" s="36" t="s">
        <v>8</v>
      </c>
      <c r="E128" s="39"/>
      <c r="F128" s="36">
        <v>0.198430599804875</v>
      </c>
      <c r="G128" s="43">
        <v>1.66140927524854</v>
      </c>
      <c r="H128" s="36">
        <f t="shared" si="5"/>
        <v>0.32967443900895</v>
      </c>
      <c r="I128" s="39"/>
      <c r="J128" s="36">
        <v>-0.0153286874152278</v>
      </c>
      <c r="K128" s="43">
        <v>7.18186813186813</v>
      </c>
      <c r="L128" s="39">
        <f t="shared" si="6"/>
        <v>-0.110088611650793</v>
      </c>
      <c r="M128" s="36" t="s">
        <v>11</v>
      </c>
      <c r="N128" s="36">
        <v>-3.25800188771516</v>
      </c>
      <c r="O128" s="43">
        <v>0.109868702725846</v>
      </c>
      <c r="P128" s="36">
        <f t="shared" si="7"/>
        <v>-0.357952440881622</v>
      </c>
      <c r="Q128" s="39" t="s">
        <v>12</v>
      </c>
      <c r="R128" s="39">
        <v>2.67300540434102</v>
      </c>
      <c r="S128" s="43">
        <v>-0.0117168545739976</v>
      </c>
      <c r="T128" s="39">
        <f t="shared" si="8"/>
        <v>-0.0313192155981734</v>
      </c>
      <c r="U128" s="39" t="s">
        <v>13</v>
      </c>
      <c r="V128" s="39">
        <v>1.73166982229238</v>
      </c>
      <c r="W128" s="43">
        <v>-0.565934065934066</v>
      </c>
      <c r="X128" s="39">
        <f t="shared" si="9"/>
        <v>-0.980010943385248</v>
      </c>
      <c r="Y128" s="39"/>
      <c r="Z128" s="39">
        <v>0.201419068509734</v>
      </c>
      <c r="AA128" s="43">
        <v>-0.565934065934066</v>
      </c>
      <c r="AB128" s="39">
        <f>Z128*AA128</f>
        <v>-0.113989912398366</v>
      </c>
      <c r="AC128" s="36">
        <v>0.00803867371046274</v>
      </c>
      <c r="AD128" s="39">
        <v>-0.0812379492743281</v>
      </c>
      <c r="AE128" s="36">
        <v>-0.11597356300036</v>
      </c>
      <c r="AF128" s="36">
        <v>0.432368515955288</v>
      </c>
      <c r="AG128" s="39">
        <v>-0.0201001031583851</v>
      </c>
      <c r="AH128" s="39">
        <v>-0.113989912398366</v>
      </c>
      <c r="AI128" s="43">
        <v>0.241758241758242</v>
      </c>
      <c r="AJ128" s="39">
        <f>AI128-AC128-AD128-AE128-AF128-AG128-AH128</f>
        <v>0.13265257992393</v>
      </c>
    </row>
    <row r="129" spans="1:36">
      <c r="A129" s="35" t="s">
        <v>57</v>
      </c>
      <c r="B129" s="39"/>
      <c r="C129" s="40" t="s">
        <v>75</v>
      </c>
      <c r="D129" s="36" t="s">
        <v>14</v>
      </c>
      <c r="E129" s="39"/>
      <c r="F129" s="36">
        <v>-0.0399529842334827</v>
      </c>
      <c r="G129" s="43">
        <v>-2.83028083028085</v>
      </c>
      <c r="H129" s="36">
        <f t="shared" si="5"/>
        <v>0.113078165388539</v>
      </c>
      <c r="I129" s="39"/>
      <c r="J129" s="36">
        <v>0.0873188983130754</v>
      </c>
      <c r="K129" s="43">
        <v>4.4532967032967</v>
      </c>
      <c r="L129" s="39">
        <f t="shared" si="6"/>
        <v>0.388856961993118</v>
      </c>
      <c r="M129" s="36" t="s">
        <v>11</v>
      </c>
      <c r="N129" s="36">
        <v>8.01506079528713</v>
      </c>
      <c r="O129" s="43">
        <v>0.0847703578472824</v>
      </c>
      <c r="P129" s="36">
        <f t="shared" si="7"/>
        <v>0.679439571784214</v>
      </c>
      <c r="Q129" s="39" t="s">
        <v>12</v>
      </c>
      <c r="R129" s="39">
        <v>-1.13770850314764</v>
      </c>
      <c r="S129" s="43">
        <v>-0.0117920540997462</v>
      </c>
      <c r="T129" s="39">
        <f t="shared" si="8"/>
        <v>0.0134159202188582</v>
      </c>
      <c r="U129" s="39" t="s">
        <v>13</v>
      </c>
      <c r="V129" s="39">
        <v>1.73166982229238</v>
      </c>
      <c r="W129" s="43">
        <v>-0.565934065934066</v>
      </c>
      <c r="X129" s="39">
        <f t="shared" si="9"/>
        <v>-0.980010943385248</v>
      </c>
      <c r="Y129" s="39"/>
      <c r="Z129" s="39">
        <v>0.233152018083435</v>
      </c>
      <c r="AA129" s="43">
        <v>-0.565934065934066</v>
      </c>
      <c r="AB129" s="39">
        <f>Z129*AA129</f>
        <v>-0.131948669574691</v>
      </c>
      <c r="AC129" s="36">
        <v>-0.152502969058511</v>
      </c>
      <c r="AD129" s="39">
        <v>-0.0360475504692359</v>
      </c>
      <c r="AE129" s="36">
        <v>-0.0202279274568107</v>
      </c>
      <c r="AF129" s="36">
        <v>0.640333704826047</v>
      </c>
      <c r="AG129" s="39">
        <v>-0.000294888215769905</v>
      </c>
      <c r="AH129" s="39">
        <v>-0.131948669574691</v>
      </c>
      <c r="AI129" s="43">
        <v>0.241758241758242</v>
      </c>
      <c r="AJ129" s="39">
        <f>AI129-AC129-AD129-AE129-AF129-AG129-AH129</f>
        <v>-0.0575534582927865</v>
      </c>
    </row>
    <row r="130" spans="1:36">
      <c r="A130" s="35" t="s">
        <v>57</v>
      </c>
      <c r="B130" s="39"/>
      <c r="C130" s="40" t="s">
        <v>75</v>
      </c>
      <c r="D130" s="36" t="s">
        <v>15</v>
      </c>
      <c r="E130" s="39"/>
      <c r="F130" s="36">
        <v>0.0938173998184606</v>
      </c>
      <c r="G130" s="43">
        <v>-0.650335775335808</v>
      </c>
      <c r="H130" s="36">
        <f t="shared" ref="H130:H148" si="10">F130*G130</f>
        <v>-0.0610128114509281</v>
      </c>
      <c r="I130" s="39"/>
      <c r="J130" s="36">
        <v>0.0021845163783335</v>
      </c>
      <c r="K130" s="43">
        <v>11.2510989010989</v>
      </c>
      <c r="L130" s="39">
        <f t="shared" ref="L130:L148" si="11">J130*K130</f>
        <v>0.0245782098237006</v>
      </c>
      <c r="M130" s="36" t="s">
        <v>11</v>
      </c>
      <c r="N130" s="36">
        <v>3.98453450199272</v>
      </c>
      <c r="O130" s="43">
        <v>0.0997359783074099</v>
      </c>
      <c r="P130" s="36">
        <f t="shared" ref="P130:P148" si="12">N130*O130</f>
        <v>0.397401446655872</v>
      </c>
      <c r="Q130" s="39" t="s">
        <v>12</v>
      </c>
      <c r="R130" s="39">
        <v>-2.94895966990831</v>
      </c>
      <c r="S130" s="43">
        <v>-0.00864135864135863</v>
      </c>
      <c r="T130" s="39">
        <f t="shared" ref="T130:T148" si="13">R130*S130</f>
        <v>0.0254830181265803</v>
      </c>
      <c r="U130" s="39" t="s">
        <v>13</v>
      </c>
      <c r="V130" s="39">
        <v>0.258516265988325</v>
      </c>
      <c r="W130" s="43">
        <v>-0.565934065934066</v>
      </c>
      <c r="X130" s="39">
        <f t="shared" ref="X130:X148" si="14">V130*W130</f>
        <v>-0.146303161520865</v>
      </c>
      <c r="Y130" s="39"/>
      <c r="Z130" s="39">
        <v>0.344647212759073</v>
      </c>
      <c r="AA130" s="43">
        <v>-0.565934065934066</v>
      </c>
      <c r="AB130" s="39">
        <f>Z130*AA130</f>
        <v>-0.195047598429585</v>
      </c>
      <c r="AC130" s="36">
        <v>0.0110317300269457</v>
      </c>
      <c r="AD130" s="39">
        <v>-0.454980829816197</v>
      </c>
      <c r="AE130" s="36">
        <v>-0.389829530472738</v>
      </c>
      <c r="AF130" s="36">
        <v>1.25142066535683</v>
      </c>
      <c r="AG130" s="39">
        <v>-0.0115911111799883</v>
      </c>
      <c r="AH130" s="39">
        <v>-0.195047598429585</v>
      </c>
      <c r="AI130" s="43">
        <v>0.241758241758242</v>
      </c>
      <c r="AJ130" s="39">
        <f>AI130-AC130-AD130-AE130-AF130-AG130-AH130</f>
        <v>0.0307549162729744</v>
      </c>
    </row>
    <row r="131" spans="1:36">
      <c r="A131" s="35" t="s">
        <v>58</v>
      </c>
      <c r="B131" s="39"/>
      <c r="C131" s="40" t="s">
        <v>75</v>
      </c>
      <c r="D131" s="36" t="s">
        <v>8</v>
      </c>
      <c r="E131" s="39"/>
      <c r="F131" s="36">
        <v>0.156601675251865</v>
      </c>
      <c r="G131" s="43">
        <v>1.66140927524854</v>
      </c>
      <c r="H131" s="36">
        <f t="shared" si="10"/>
        <v>0.260179475782908</v>
      </c>
      <c r="I131" s="39"/>
      <c r="J131" s="36">
        <v>0.0165849171054076</v>
      </c>
      <c r="K131" s="51">
        <v>6.7978021978022</v>
      </c>
      <c r="L131" s="39">
        <f t="shared" si="11"/>
        <v>0.112740985949507</v>
      </c>
      <c r="M131" s="36" t="s">
        <v>11</v>
      </c>
      <c r="N131" s="36">
        <v>-1.94595043633507</v>
      </c>
      <c r="O131" s="51">
        <v>0.115095430884902</v>
      </c>
      <c r="P131" s="36">
        <f t="shared" si="12"/>
        <v>-0.223970003950648</v>
      </c>
      <c r="Q131" s="39" t="s">
        <v>12</v>
      </c>
      <c r="R131" s="39">
        <v>-5.26761111313652</v>
      </c>
      <c r="S131" s="51">
        <v>-0.00540775014459242</v>
      </c>
      <c r="T131" s="39">
        <f t="shared" si="13"/>
        <v>0.0284859247587207</v>
      </c>
      <c r="U131" s="39" t="s">
        <v>13</v>
      </c>
      <c r="V131" s="39">
        <v>-0.275706373035588</v>
      </c>
      <c r="W131" s="51">
        <v>-0.582417582417582</v>
      </c>
      <c r="X131" s="39">
        <f t="shared" si="14"/>
        <v>0.160576239240507</v>
      </c>
      <c r="Y131" s="39"/>
      <c r="Z131" s="39">
        <v>-0.0762066619970852</v>
      </c>
      <c r="AA131" s="43">
        <v>-0.582417582417582</v>
      </c>
      <c r="AB131" s="39">
        <f>Z131*AA131</f>
        <v>0.0443840998444562</v>
      </c>
      <c r="AC131" s="36">
        <v>-0.0123239925357043</v>
      </c>
      <c r="AD131" s="39">
        <v>0.100777112745043</v>
      </c>
      <c r="AE131" s="36">
        <v>-0.0978271992089371</v>
      </c>
      <c r="AF131" s="36">
        <v>0.231028161325614</v>
      </c>
      <c r="AG131" s="39">
        <v>-0.0456593495437876</v>
      </c>
      <c r="AH131" s="39">
        <v>0.0443840998444562</v>
      </c>
      <c r="AI131" s="43">
        <v>0.340659340659341</v>
      </c>
      <c r="AJ131" s="39">
        <f>AI131-AC131-AD131-AE131-AF131-AG131-AH131</f>
        <v>0.120280508032657</v>
      </c>
    </row>
    <row r="132" spans="1:36">
      <c r="A132" s="35" t="s">
        <v>58</v>
      </c>
      <c r="B132" s="39"/>
      <c r="C132" s="40" t="s">
        <v>75</v>
      </c>
      <c r="D132" s="36" t="s">
        <v>14</v>
      </c>
      <c r="E132" s="39"/>
      <c r="F132" s="36">
        <v>-0.0106163266883669</v>
      </c>
      <c r="G132" s="43">
        <v>-2.83028083028085</v>
      </c>
      <c r="H132" s="36">
        <f t="shared" si="10"/>
        <v>0.0300471859140838</v>
      </c>
      <c r="I132" s="39"/>
      <c r="J132" s="36">
        <v>0.00443580243104352</v>
      </c>
      <c r="K132" s="51">
        <v>4.01593406593407</v>
      </c>
      <c r="L132" s="39">
        <f t="shared" si="11"/>
        <v>0.0178138900925808</v>
      </c>
      <c r="M132" s="36" t="s">
        <v>11</v>
      </c>
      <c r="N132" s="36">
        <v>-1.15345693373079</v>
      </c>
      <c r="O132" s="51">
        <v>0.0897388325959742</v>
      </c>
      <c r="P132" s="36">
        <f t="shared" si="12"/>
        <v>-0.103509878682733</v>
      </c>
      <c r="Q132" s="39" t="s">
        <v>12</v>
      </c>
      <c r="R132" s="39">
        <v>1.59665325452649</v>
      </c>
      <c r="S132" s="51">
        <v>-0.0087412587412583</v>
      </c>
      <c r="T132" s="39">
        <f t="shared" si="13"/>
        <v>-0.0139567592178882</v>
      </c>
      <c r="U132" s="39" t="s">
        <v>13</v>
      </c>
      <c r="V132" s="39">
        <v>-0.275706373035588</v>
      </c>
      <c r="W132" s="51">
        <v>-0.582417582417582</v>
      </c>
      <c r="X132" s="39">
        <f t="shared" si="14"/>
        <v>0.160576239240507</v>
      </c>
      <c r="Y132" s="39"/>
      <c r="Z132" s="39">
        <v>0.178226850398203</v>
      </c>
      <c r="AA132" s="43">
        <v>-0.582417582417582</v>
      </c>
      <c r="AB132" s="39">
        <f>Z132*AA132</f>
        <v>-0.103802451330821</v>
      </c>
      <c r="AC132" s="36">
        <v>-0.168822901855112</v>
      </c>
      <c r="AD132" s="39">
        <v>-0.228223501514202</v>
      </c>
      <c r="AE132" s="36">
        <v>-0.346124419290192</v>
      </c>
      <c r="AF132" s="36">
        <v>1.33702721807907</v>
      </c>
      <c r="AG132" s="39">
        <v>-0.0807759374373515</v>
      </c>
      <c r="AH132" s="39">
        <v>-0.103802451330821</v>
      </c>
      <c r="AI132" s="43">
        <v>0.340659340659341</v>
      </c>
      <c r="AJ132" s="39">
        <f>AI132-AC132-AD132-AE132-AF132-AG132-AH132</f>
        <v>-0.0686186659920506</v>
      </c>
    </row>
    <row r="133" spans="1:36">
      <c r="A133" s="35" t="s">
        <v>58</v>
      </c>
      <c r="B133" s="39"/>
      <c r="C133" s="40" t="s">
        <v>75</v>
      </c>
      <c r="D133" s="36" t="s">
        <v>15</v>
      </c>
      <c r="E133" s="39"/>
      <c r="F133" s="36">
        <v>0.0954087861326746</v>
      </c>
      <c r="G133" s="43">
        <v>-0.650335775335808</v>
      </c>
      <c r="H133" s="36">
        <f t="shared" si="10"/>
        <v>-0.0620477469034412</v>
      </c>
      <c r="I133" s="39"/>
      <c r="J133" s="36">
        <v>0.0105586277311871</v>
      </c>
      <c r="K133" s="51">
        <v>11.3450549450549</v>
      </c>
      <c r="L133" s="39">
        <f t="shared" si="11"/>
        <v>0.119788211754698</v>
      </c>
      <c r="M133" s="36" t="s">
        <v>11</v>
      </c>
      <c r="N133" s="36">
        <v>2.65548804577078</v>
      </c>
      <c r="O133" s="51">
        <v>0.103000289184502</v>
      </c>
      <c r="P133" s="36">
        <f t="shared" si="12"/>
        <v>0.273516036640378</v>
      </c>
      <c r="Q133" s="39" t="s">
        <v>12</v>
      </c>
      <c r="R133" s="39">
        <v>-2.62550579800277</v>
      </c>
      <c r="S133" s="51">
        <v>-0.00678137651821866</v>
      </c>
      <c r="T133" s="39">
        <f t="shared" si="13"/>
        <v>0.0178045433670229</v>
      </c>
      <c r="U133" s="39" t="s">
        <v>13</v>
      </c>
      <c r="V133" s="39">
        <v>0.0538563980413984</v>
      </c>
      <c r="W133" s="51">
        <v>-0.582417582417582</v>
      </c>
      <c r="X133" s="39">
        <f t="shared" si="14"/>
        <v>-0.0313669131449903</v>
      </c>
      <c r="Y133" s="39"/>
      <c r="Z133" s="39">
        <v>0.147786257214149</v>
      </c>
      <c r="AA133" s="43">
        <v>-0.582417582417582</v>
      </c>
      <c r="AB133" s="39">
        <f>Z133*AA133</f>
        <v>-0.0860733146412076</v>
      </c>
      <c r="AC133" s="36">
        <v>-0.0110734125646965</v>
      </c>
      <c r="AD133" s="39">
        <v>-0.173264850128774</v>
      </c>
      <c r="AE133" s="36">
        <v>-0.30079054963624</v>
      </c>
      <c r="AF133" s="36">
        <v>0.871409960339461</v>
      </c>
      <c r="AG133" s="39">
        <v>-0.0066000746250572</v>
      </c>
      <c r="AH133" s="39">
        <v>-0.0860733146412078</v>
      </c>
      <c r="AI133" s="43">
        <v>0.340659340659341</v>
      </c>
      <c r="AJ133" s="39">
        <f>AI133-AC133-AD133-AE133-AF133-AG133-AH133</f>
        <v>0.0470515819158556</v>
      </c>
    </row>
    <row r="134" spans="1:36">
      <c r="A134" s="35" t="s">
        <v>59</v>
      </c>
      <c r="B134" s="39"/>
      <c r="C134" s="40" t="s">
        <v>75</v>
      </c>
      <c r="D134" s="36" t="s">
        <v>8</v>
      </c>
      <c r="E134" s="39"/>
      <c r="F134" s="39">
        <v>0.115725675637611</v>
      </c>
      <c r="G134" s="43">
        <v>2.45443802521008</v>
      </c>
      <c r="H134" s="36">
        <f t="shared" si="10"/>
        <v>0.28404149877808</v>
      </c>
      <c r="I134" s="39"/>
      <c r="J134" s="39">
        <v>0.0839847857013859</v>
      </c>
      <c r="K134" s="43">
        <v>4.57926470588235</v>
      </c>
      <c r="L134" s="39">
        <f t="shared" si="11"/>
        <v>0.384588564993449</v>
      </c>
      <c r="M134" s="36" t="s">
        <v>11</v>
      </c>
      <c r="N134" s="39">
        <v>-9.13260636872023</v>
      </c>
      <c r="O134" s="43">
        <v>0.0245772058823529</v>
      </c>
      <c r="P134" s="36">
        <f t="shared" si="12"/>
        <v>-0.224453946966524</v>
      </c>
      <c r="Q134" s="39" t="s">
        <v>12</v>
      </c>
      <c r="R134" s="39">
        <v>4.38673824031441</v>
      </c>
      <c r="S134" s="43">
        <v>0.0271323529411765</v>
      </c>
      <c r="T134" s="39">
        <f t="shared" si="13"/>
        <v>0.119022530196766</v>
      </c>
      <c r="U134" s="39" t="s">
        <v>13</v>
      </c>
      <c r="V134" s="39">
        <v>-0.367036864675644</v>
      </c>
      <c r="W134" s="43">
        <v>0.0941176470588235</v>
      </c>
      <c r="X134" s="39">
        <f t="shared" si="14"/>
        <v>-0.0345446460871194</v>
      </c>
      <c r="Y134" s="39"/>
      <c r="Z134" s="39">
        <v>-0.0429115782604994</v>
      </c>
      <c r="AA134" s="43">
        <v>0.0941176470588235</v>
      </c>
      <c r="AB134" s="39">
        <f>Z134*AA134</f>
        <v>-0.00403873677745877</v>
      </c>
      <c r="AC134" s="36">
        <v>-0.35776094909035</v>
      </c>
      <c r="AD134" s="39">
        <v>0.356161821675954</v>
      </c>
      <c r="AE134" s="36">
        <v>-0.158443738774876</v>
      </c>
      <c r="AF134" s="36">
        <v>0.687649040381836</v>
      </c>
      <c r="AG134" s="39">
        <v>0.260804981391996</v>
      </c>
      <c r="AH134" s="39">
        <v>-0.00403873677745877</v>
      </c>
      <c r="AI134" s="43">
        <v>2.20294117647059</v>
      </c>
      <c r="AJ134" s="39">
        <f>AI134-AC134-AD134-AE134-AF134-AG134-AH134</f>
        <v>1.41856875766349</v>
      </c>
    </row>
    <row r="135" spans="1:36">
      <c r="A135" s="35" t="s">
        <v>59</v>
      </c>
      <c r="B135" s="39"/>
      <c r="C135" s="40" t="s">
        <v>75</v>
      </c>
      <c r="D135" s="36" t="s">
        <v>14</v>
      </c>
      <c r="E135" s="39"/>
      <c r="F135" s="39">
        <v>-0.0128953579847959</v>
      </c>
      <c r="G135" s="43">
        <v>1.50484068627452</v>
      </c>
      <c r="H135" s="36">
        <f t="shared" si="10"/>
        <v>-0.0194054593595959</v>
      </c>
      <c r="I135" s="39"/>
      <c r="J135" s="39">
        <v>0.0565520109801706</v>
      </c>
      <c r="K135" s="43">
        <v>6.10808823529412</v>
      </c>
      <c r="L135" s="39">
        <f t="shared" si="11"/>
        <v>0.345424672950204</v>
      </c>
      <c r="M135" s="36" t="s">
        <v>11</v>
      </c>
      <c r="N135" s="39">
        <v>10.9114174411896</v>
      </c>
      <c r="O135" s="43">
        <v>0.0759761029411765</v>
      </c>
      <c r="P135" s="36">
        <f t="shared" si="12"/>
        <v>0.82900697474597</v>
      </c>
      <c r="Q135" s="39" t="s">
        <v>12</v>
      </c>
      <c r="R135" s="39">
        <v>-5.28965818202154</v>
      </c>
      <c r="S135" s="43">
        <v>0.00314338235294119</v>
      </c>
      <c r="T135" s="39">
        <f t="shared" si="13"/>
        <v>-0.0166274181824575</v>
      </c>
      <c r="U135" s="39" t="s">
        <v>13</v>
      </c>
      <c r="V135" s="39">
        <v>-0.367036864675644</v>
      </c>
      <c r="W135" s="43">
        <v>0.0941176470588235</v>
      </c>
      <c r="X135" s="39">
        <f t="shared" si="14"/>
        <v>-0.0345446460871194</v>
      </c>
      <c r="Y135" s="39"/>
      <c r="Z135" s="39">
        <v>0.198654856811437</v>
      </c>
      <c r="AA135" s="43">
        <v>0.0941176470588235</v>
      </c>
      <c r="AB135" s="39">
        <f>Z135*AA135</f>
        <v>0.0186969276998999</v>
      </c>
      <c r="AC135" s="36">
        <v>0.0184897405544202</v>
      </c>
      <c r="AD135" s="39">
        <v>0.632455820173948</v>
      </c>
      <c r="AE135" s="36">
        <v>0.100751257658808</v>
      </c>
      <c r="AF135" s="36">
        <v>0.950395002142805</v>
      </c>
      <c r="AG135" s="39">
        <v>-0.000909022525654491</v>
      </c>
      <c r="AH135" s="39">
        <v>0.0186969276999</v>
      </c>
      <c r="AI135" s="43">
        <v>2.20294117647059</v>
      </c>
      <c r="AJ135" s="39">
        <f>AI135-AC135-AD135-AE135-AF135-AG135-AH135</f>
        <v>0.483061450766363</v>
      </c>
    </row>
    <row r="136" spans="1:36">
      <c r="A136" s="35" t="s">
        <v>59</v>
      </c>
      <c r="B136" s="39"/>
      <c r="C136" s="40" t="s">
        <v>75</v>
      </c>
      <c r="D136" s="36" t="s">
        <v>15</v>
      </c>
      <c r="E136" s="39"/>
      <c r="F136" s="39">
        <v>0.0407828522929338</v>
      </c>
      <c r="G136" s="43">
        <v>1.87028926955397</v>
      </c>
      <c r="H136" s="36">
        <f t="shared" si="10"/>
        <v>0.0762757310252786</v>
      </c>
      <c r="I136" s="39"/>
      <c r="J136" s="39">
        <v>0.100436961044833</v>
      </c>
      <c r="K136" s="43">
        <v>9.98470588235294</v>
      </c>
      <c r="L136" s="39">
        <f t="shared" si="11"/>
        <v>1.00283351575</v>
      </c>
      <c r="M136" s="36" t="s">
        <v>11</v>
      </c>
      <c r="N136" s="39">
        <v>7.34793890170121</v>
      </c>
      <c r="O136" s="43">
        <v>0.0510312615612275</v>
      </c>
      <c r="P136" s="36">
        <f t="shared" si="12"/>
        <v>0.374974592028633</v>
      </c>
      <c r="Q136" s="39" t="s">
        <v>12</v>
      </c>
      <c r="R136" s="39">
        <v>2.13457958594448</v>
      </c>
      <c r="S136" s="43">
        <v>0.0176960784313727</v>
      </c>
      <c r="T136" s="39">
        <f t="shared" si="13"/>
        <v>0.0377736877708806</v>
      </c>
      <c r="U136" s="39" t="s">
        <v>13</v>
      </c>
      <c r="V136" s="43">
        <v>0.0809750896462444</v>
      </c>
      <c r="W136" s="43">
        <v>0.0941176470588235</v>
      </c>
      <c r="X136" s="39">
        <f t="shared" si="14"/>
        <v>0.00762118490788182</v>
      </c>
      <c r="Y136" s="39"/>
      <c r="Z136" s="43">
        <v>0.352212322202315</v>
      </c>
      <c r="AA136" s="43">
        <v>0.0941176470588235</v>
      </c>
      <c r="AB136" s="39">
        <f>Z136*AA136</f>
        <v>0.0331493950308061</v>
      </c>
      <c r="AC136" s="36">
        <v>0.0533916342591195</v>
      </c>
      <c r="AD136" s="39">
        <v>0.760476526344263</v>
      </c>
      <c r="AE136" s="36">
        <v>-0.0682607582006703</v>
      </c>
      <c r="AF136" s="36">
        <v>0.786764926617018</v>
      </c>
      <c r="AG136" s="39">
        <v>0.0660237772076146</v>
      </c>
      <c r="AH136" s="39">
        <v>0.0331493950308061</v>
      </c>
      <c r="AI136" s="43">
        <v>2.20294117647059</v>
      </c>
      <c r="AJ136" s="39">
        <f>AI136-AC136-AD136-AE136-AF136-AG136-AH136</f>
        <v>0.571395675212439</v>
      </c>
    </row>
    <row r="137" spans="1:36">
      <c r="A137" s="35" t="s">
        <v>60</v>
      </c>
      <c r="B137" s="39"/>
      <c r="C137" s="40" t="s">
        <v>75</v>
      </c>
      <c r="D137" s="36" t="s">
        <v>8</v>
      </c>
      <c r="E137" s="39"/>
      <c r="F137" s="39">
        <v>-0.00837960749952505</v>
      </c>
      <c r="G137" s="43">
        <v>2.45443802521008</v>
      </c>
      <c r="H137" s="36">
        <f t="shared" si="10"/>
        <v>-0.0205672272831698</v>
      </c>
      <c r="I137" s="39"/>
      <c r="J137" s="39">
        <v>0.0253150278443904</v>
      </c>
      <c r="K137" s="43">
        <v>2.83514705882353</v>
      </c>
      <c r="L137" s="39">
        <f t="shared" si="11"/>
        <v>0.0717718267370592</v>
      </c>
      <c r="M137" s="36" t="s">
        <v>11</v>
      </c>
      <c r="N137" s="39">
        <v>-4.39053569006236</v>
      </c>
      <c r="O137" s="43">
        <v>0.0406593927893727</v>
      </c>
      <c r="P137" s="36">
        <f t="shared" si="12"/>
        <v>-0.178516515178005</v>
      </c>
      <c r="Q137" s="39" t="s">
        <v>12</v>
      </c>
      <c r="R137" s="39">
        <v>-0.113690861220125</v>
      </c>
      <c r="S137" s="43">
        <v>0.020595351043643</v>
      </c>
      <c r="T137" s="39">
        <f t="shared" si="13"/>
        <v>-0.00234150319728257</v>
      </c>
      <c r="U137" s="39" t="s">
        <v>13</v>
      </c>
      <c r="V137" s="43">
        <v>0.19299188047919</v>
      </c>
      <c r="W137" s="43">
        <v>-0.0705882352941176</v>
      </c>
      <c r="X137" s="39">
        <f t="shared" si="14"/>
        <v>-0.0136229562691193</v>
      </c>
      <c r="Y137" s="39"/>
      <c r="Z137" s="43">
        <v>-0.03890614</v>
      </c>
      <c r="AA137" s="43">
        <v>-0.0705882352941176</v>
      </c>
      <c r="AB137" s="39">
        <f>Z137*AA137</f>
        <v>0.00274631576470588</v>
      </c>
      <c r="AC137" s="36">
        <v>-0.11997305097021</v>
      </c>
      <c r="AD137" s="39">
        <v>0.120224791830305</v>
      </c>
      <c r="AE137" s="36">
        <v>-0.0348174053120699</v>
      </c>
      <c r="AF137" s="36">
        <v>-0.00732063427694545</v>
      </c>
      <c r="AG137" s="39">
        <v>-0.000782018323674068</v>
      </c>
      <c r="AH137" s="39">
        <v>0.00274631576470588</v>
      </c>
      <c r="AI137" s="43">
        <v>-0.0161764705882353</v>
      </c>
      <c r="AJ137" s="39">
        <f>AI137-AC137-AD137-AE137-AF137-AG137-AH137</f>
        <v>0.0237455306996532</v>
      </c>
    </row>
    <row r="138" spans="1:36">
      <c r="A138" s="35" t="s">
        <v>60</v>
      </c>
      <c r="B138" s="39"/>
      <c r="C138" s="40" t="s">
        <v>75</v>
      </c>
      <c r="D138" s="36" t="s">
        <v>14</v>
      </c>
      <c r="E138" s="39"/>
      <c r="F138" s="39">
        <v>-0.0149551463364628</v>
      </c>
      <c r="G138" s="43">
        <v>1.50484068627452</v>
      </c>
      <c r="H138" s="36">
        <f t="shared" si="10"/>
        <v>-0.0225051126762986</v>
      </c>
      <c r="I138" s="39"/>
      <c r="J138" s="39">
        <v>0.00761356883186757</v>
      </c>
      <c r="K138" s="43">
        <v>6.49705882352941</v>
      </c>
      <c r="L138" s="39">
        <f t="shared" si="11"/>
        <v>0.0494658045576337</v>
      </c>
      <c r="M138" s="36" t="s">
        <v>11</v>
      </c>
      <c r="N138" s="39">
        <v>0.771234426018094</v>
      </c>
      <c r="O138" s="43">
        <v>0.0604482922201166</v>
      </c>
      <c r="P138" s="36">
        <f t="shared" si="12"/>
        <v>0.0466198039541556</v>
      </c>
      <c r="Q138" s="39" t="s">
        <v>12</v>
      </c>
      <c r="R138" s="39">
        <v>-1.3740745128147</v>
      </c>
      <c r="S138" s="43">
        <v>-0.00701375711574937</v>
      </c>
      <c r="T138" s="39">
        <f t="shared" si="13"/>
        <v>0.00963742489182395</v>
      </c>
      <c r="U138" s="39" t="s">
        <v>13</v>
      </c>
      <c r="V138" s="43">
        <v>0.19299188047919</v>
      </c>
      <c r="W138" s="43">
        <v>-0.0705882352941176</v>
      </c>
      <c r="X138" s="39">
        <f t="shared" si="14"/>
        <v>-0.0136229562691193</v>
      </c>
      <c r="Y138" s="39"/>
      <c r="Z138" s="43">
        <v>0.161191972</v>
      </c>
      <c r="AA138" s="43">
        <v>-0.0705882352941176</v>
      </c>
      <c r="AB138" s="39">
        <f>Z138*AA138</f>
        <v>-0.0113782568470588</v>
      </c>
      <c r="AC138" s="36">
        <v>0.000591663328090503</v>
      </c>
      <c r="AD138" s="39">
        <v>0.212661201680579</v>
      </c>
      <c r="AE138" s="36">
        <v>-0.00447410877702515</v>
      </c>
      <c r="AF138" s="36">
        <v>-0.199041826097716</v>
      </c>
      <c r="AG138" s="39">
        <v>-0.000242551572739158</v>
      </c>
      <c r="AH138" s="39">
        <v>-0.0113782568470588</v>
      </c>
      <c r="AI138" s="43">
        <v>-0.0161764705882353</v>
      </c>
      <c r="AJ138" s="39">
        <f>AI138-AC138-AD138-AE138-AF138-AG138-AH138</f>
        <v>-0.0142925923023657</v>
      </c>
    </row>
    <row r="139" spans="1:36">
      <c r="A139" s="35" t="s">
        <v>60</v>
      </c>
      <c r="B139" s="39"/>
      <c r="C139" s="40" t="s">
        <v>75</v>
      </c>
      <c r="D139" s="36" t="s">
        <v>15</v>
      </c>
      <c r="E139" s="39"/>
      <c r="F139" s="39">
        <v>-0.0129677750081202</v>
      </c>
      <c r="G139" s="43">
        <v>1.87028926955397</v>
      </c>
      <c r="H139" s="36">
        <f t="shared" si="10"/>
        <v>-0.0242534904476774</v>
      </c>
      <c r="I139" s="39"/>
      <c r="J139" s="39">
        <v>0.0162759856804724</v>
      </c>
      <c r="K139" s="43">
        <v>9.0125</v>
      </c>
      <c r="L139" s="39">
        <f t="shared" si="11"/>
        <v>0.146687320945257</v>
      </c>
      <c r="M139" s="36" t="s">
        <v>11</v>
      </c>
      <c r="N139" s="39">
        <v>-2.15205704652104</v>
      </c>
      <c r="O139" s="43">
        <v>0.050882352941176</v>
      </c>
      <c r="P139" s="36">
        <f t="shared" si="12"/>
        <v>-0.109501726190628</v>
      </c>
      <c r="Q139" s="39" t="s">
        <v>12</v>
      </c>
      <c r="R139" s="39">
        <v>0.0906096815865891</v>
      </c>
      <c r="S139" s="43">
        <v>0.00681611669057873</v>
      </c>
      <c r="T139" s="39">
        <f t="shared" si="13"/>
        <v>0.000617606162990374</v>
      </c>
      <c r="U139" s="39" t="s">
        <v>13</v>
      </c>
      <c r="V139" s="39">
        <v>0.177926750384686</v>
      </c>
      <c r="W139" s="43">
        <v>-0.0705882352941176</v>
      </c>
      <c r="X139" s="39">
        <f t="shared" si="14"/>
        <v>-0.0125595353212719</v>
      </c>
      <c r="Y139" s="39"/>
      <c r="Z139" s="39">
        <v>0.135945116</v>
      </c>
      <c r="AA139" s="43">
        <v>-0.0705882352941176</v>
      </c>
      <c r="AB139" s="39">
        <f>Z139*AA139</f>
        <v>-0.00959612583529411</v>
      </c>
      <c r="AC139" s="36">
        <v>-0.0115634799576743</v>
      </c>
      <c r="AD139" s="39">
        <v>0.201723961238637</v>
      </c>
      <c r="AE139" s="36">
        <v>-0.0465183520424457</v>
      </c>
      <c r="AF139" s="36">
        <v>-0.151119455486284</v>
      </c>
      <c r="AG139" s="39">
        <v>-0.00278122076946303</v>
      </c>
      <c r="AH139" s="39">
        <v>-0.00959612583529411</v>
      </c>
      <c r="AI139" s="43">
        <v>-0.0161764705882353</v>
      </c>
      <c r="AJ139" s="39">
        <f>AI139-AC139-AD139-AE139-AF139-AG139-AH139</f>
        <v>0.00367820226428883</v>
      </c>
    </row>
    <row r="140" spans="1:36">
      <c r="A140" s="35" t="s">
        <v>61</v>
      </c>
      <c r="B140" s="39"/>
      <c r="C140" s="40" t="s">
        <v>75</v>
      </c>
      <c r="D140" s="36" t="s">
        <v>8</v>
      </c>
      <c r="E140" s="39"/>
      <c r="F140" s="39">
        <v>0.227468562912532</v>
      </c>
      <c r="G140" s="43">
        <v>2.45443802521008</v>
      </c>
      <c r="H140" s="36">
        <f t="shared" si="10"/>
        <v>0.55830749035241</v>
      </c>
      <c r="I140" s="39"/>
      <c r="J140" s="39">
        <v>0.0485123536777187</v>
      </c>
      <c r="K140" s="43">
        <v>4.96544117647059</v>
      </c>
      <c r="L140" s="39">
        <f t="shared" si="11"/>
        <v>0.240885238518849</v>
      </c>
      <c r="M140" s="36" t="s">
        <v>11</v>
      </c>
      <c r="N140" s="39">
        <v>-6.75301948572381</v>
      </c>
      <c r="O140" s="43">
        <v>0.0437794117647043</v>
      </c>
      <c r="P140" s="36">
        <f t="shared" si="12"/>
        <v>-0.295643220720574</v>
      </c>
      <c r="Q140" s="39" t="s">
        <v>12</v>
      </c>
      <c r="R140" s="39">
        <v>4.74499202804184</v>
      </c>
      <c r="S140" s="43">
        <v>0.00622058823529426</v>
      </c>
      <c r="T140" s="39">
        <f t="shared" si="13"/>
        <v>0.0295166415862021</v>
      </c>
      <c r="U140" s="39" t="s">
        <v>13</v>
      </c>
      <c r="V140" s="39">
        <v>1.5551716752094</v>
      </c>
      <c r="W140" s="43">
        <v>0.314705882352941</v>
      </c>
      <c r="X140" s="39">
        <f t="shared" si="14"/>
        <v>0.489421674257076</v>
      </c>
      <c r="Y140" s="39"/>
      <c r="Z140" s="39">
        <v>1.85570720734484</v>
      </c>
      <c r="AA140" s="43">
        <v>0.314705882352941</v>
      </c>
      <c r="AB140" s="39">
        <f>Z140*AA140</f>
        <v>0.58400197407617</v>
      </c>
      <c r="AC140" s="36">
        <v>-0.0110476803291749</v>
      </c>
      <c r="AD140" s="39">
        <v>0.152484479559058</v>
      </c>
      <c r="AE140" s="36">
        <v>-0.140897940099227</v>
      </c>
      <c r="AF140" s="36">
        <v>0.693451952129847</v>
      </c>
      <c r="AG140" s="39">
        <v>0.156044693096654</v>
      </c>
      <c r="AH140" s="39">
        <v>0.58400197407617</v>
      </c>
      <c r="AI140" s="43">
        <v>2.875</v>
      </c>
      <c r="AJ140" s="39">
        <f>AI140-AC140-AD140-AE140-AF140-AG140-AH140</f>
        <v>1.44096252156667</v>
      </c>
    </row>
    <row r="141" spans="1:36">
      <c r="A141" s="35" t="s">
        <v>61</v>
      </c>
      <c r="B141" s="39"/>
      <c r="C141" s="40" t="s">
        <v>75</v>
      </c>
      <c r="D141" s="36" t="s">
        <v>14</v>
      </c>
      <c r="E141" s="39"/>
      <c r="F141" s="39">
        <v>-0.0114031444074315</v>
      </c>
      <c r="G141" s="43">
        <v>1.50484068627452</v>
      </c>
      <c r="H141" s="36">
        <f t="shared" si="10"/>
        <v>-0.0171599156557667</v>
      </c>
      <c r="I141" s="39"/>
      <c r="J141" s="39">
        <v>0.0472508980014118</v>
      </c>
      <c r="K141" s="43">
        <v>4.65808823529412</v>
      </c>
      <c r="L141" s="39">
        <f t="shared" si="11"/>
        <v>0.220098852087459</v>
      </c>
      <c r="M141" s="36" t="s">
        <v>11</v>
      </c>
      <c r="N141" s="39">
        <v>11.2088999148559</v>
      </c>
      <c r="O141" s="43">
        <v>0.0659631317315639</v>
      </c>
      <c r="P141" s="36">
        <f t="shared" si="12"/>
        <v>0.739374141649555</v>
      </c>
      <c r="Q141" s="39" t="s">
        <v>12</v>
      </c>
      <c r="R141" s="39">
        <v>-6.0895741415651</v>
      </c>
      <c r="S141" s="43">
        <v>0.022885252692626</v>
      </c>
      <c r="T141" s="39">
        <f t="shared" si="13"/>
        <v>-0.139361443020198</v>
      </c>
      <c r="U141" s="39" t="s">
        <v>13</v>
      </c>
      <c r="V141" s="39">
        <v>1.5551716752094</v>
      </c>
      <c r="W141" s="43">
        <v>0.314705882352941</v>
      </c>
      <c r="X141" s="39">
        <f t="shared" si="14"/>
        <v>0.489421674257076</v>
      </c>
      <c r="Y141" s="39"/>
      <c r="Z141" s="39">
        <v>1.02718525048452</v>
      </c>
      <c r="AA141" s="43">
        <v>0.314705882352941</v>
      </c>
      <c r="AB141" s="39">
        <f>Z141*AA141</f>
        <v>0.323261240593658</v>
      </c>
      <c r="AC141" s="36">
        <v>-0.00694940152168259</v>
      </c>
      <c r="AD141" s="39">
        <v>0.476718073873914</v>
      </c>
      <c r="AE141" s="36">
        <v>0.0852040749604555</v>
      </c>
      <c r="AF141" s="36">
        <v>1.27038266464692</v>
      </c>
      <c r="AG141" s="39">
        <v>0.000534527084167318</v>
      </c>
      <c r="AH141" s="39">
        <v>0.323261240593658</v>
      </c>
      <c r="AI141" s="43">
        <v>2.875</v>
      </c>
      <c r="AJ141" s="39">
        <f>AI141-AC141-AD141-AE141-AF141-AG141-AH141</f>
        <v>0.725848820362568</v>
      </c>
    </row>
    <row r="142" spans="1:36">
      <c r="A142" s="35" t="s">
        <v>61</v>
      </c>
      <c r="B142" s="39"/>
      <c r="C142" s="40" t="s">
        <v>75</v>
      </c>
      <c r="D142" s="36" t="s">
        <v>15</v>
      </c>
      <c r="E142" s="39"/>
      <c r="F142" s="39">
        <v>0.0515574697398348</v>
      </c>
      <c r="G142" s="43">
        <v>1.87028926955397</v>
      </c>
      <c r="H142" s="36">
        <f t="shared" si="10"/>
        <v>0.0964273824197665</v>
      </c>
      <c r="I142" s="39"/>
      <c r="J142" s="39">
        <v>0.099970469537741</v>
      </c>
      <c r="K142" s="43">
        <v>9.58705882352941</v>
      </c>
      <c r="L142" s="39">
        <f t="shared" si="11"/>
        <v>0.958422772074178</v>
      </c>
      <c r="M142" s="36" t="s">
        <v>11</v>
      </c>
      <c r="N142" s="39">
        <v>11.4817657981178</v>
      </c>
      <c r="O142" s="43">
        <v>0.0557825630252118</v>
      </c>
      <c r="P142" s="36">
        <f t="shared" si="12"/>
        <v>0.640482324274227</v>
      </c>
      <c r="Q142" s="39" t="s">
        <v>12</v>
      </c>
      <c r="R142" s="39">
        <v>2.20372319212962</v>
      </c>
      <c r="S142" s="43">
        <v>0.017260504201681</v>
      </c>
      <c r="T142" s="39">
        <f t="shared" si="13"/>
        <v>0.0380373734170952</v>
      </c>
      <c r="U142" s="39" t="s">
        <v>13</v>
      </c>
      <c r="V142" s="39">
        <v>0.361023518949816</v>
      </c>
      <c r="W142" s="43">
        <v>0.314705882352941</v>
      </c>
      <c r="X142" s="39">
        <f t="shared" si="14"/>
        <v>0.113616225081266</v>
      </c>
      <c r="Y142" s="39"/>
      <c r="Z142" s="39">
        <v>1.42368473384078</v>
      </c>
      <c r="AA142" s="43">
        <v>0.314705882352941</v>
      </c>
      <c r="AB142" s="39">
        <f>Z142*AA142</f>
        <v>0.448041960355775</v>
      </c>
      <c r="AC142" s="36">
        <v>0.0482171181280096</v>
      </c>
      <c r="AD142" s="39">
        <v>0.599308301132146</v>
      </c>
      <c r="AE142" s="36">
        <v>-0.202767264659471</v>
      </c>
      <c r="AF142" s="36">
        <v>1.13280093216095</v>
      </c>
      <c r="AG142" s="39">
        <v>0.0306837280444564</v>
      </c>
      <c r="AH142" s="39">
        <v>0.448041960355776</v>
      </c>
      <c r="AI142" s="43">
        <v>2.875</v>
      </c>
      <c r="AJ142" s="39">
        <f>AI142-AC142-AD142-AE142-AF142-AG142-AH142</f>
        <v>0.818715224838133</v>
      </c>
    </row>
    <row r="143" spans="1:36">
      <c r="A143" s="35" t="s">
        <v>62</v>
      </c>
      <c r="B143" s="39"/>
      <c r="C143" s="40" t="s">
        <v>75</v>
      </c>
      <c r="D143" s="36" t="s">
        <v>8</v>
      </c>
      <c r="E143" s="39"/>
      <c r="F143" s="39">
        <v>0.0457513413351087</v>
      </c>
      <c r="G143" s="43">
        <v>2.45443802521008</v>
      </c>
      <c r="H143" s="36">
        <f t="shared" si="10"/>
        <v>0.112293831877256</v>
      </c>
      <c r="I143" s="39"/>
      <c r="J143" s="39">
        <v>0.0133884410132206</v>
      </c>
      <c r="K143" s="43">
        <v>3.87029411764706</v>
      </c>
      <c r="L143" s="39">
        <f t="shared" si="11"/>
        <v>0.0518172044979323</v>
      </c>
      <c r="M143" s="36" t="s">
        <v>11</v>
      </c>
      <c r="N143" s="39">
        <v>-5.04138392765161</v>
      </c>
      <c r="O143" s="43">
        <v>0.0382531194295929</v>
      </c>
      <c r="P143" s="36">
        <f t="shared" si="12"/>
        <v>-0.192848661474887</v>
      </c>
      <c r="Q143" s="39" t="s">
        <v>12</v>
      </c>
      <c r="R143" s="39">
        <v>-0.283892133826267</v>
      </c>
      <c r="S143" s="43">
        <v>0.0123284313725492</v>
      </c>
      <c r="T143" s="39">
        <f t="shared" si="13"/>
        <v>-0.00349994468908369</v>
      </c>
      <c r="U143" s="39" t="s">
        <v>13</v>
      </c>
      <c r="V143" s="39">
        <v>0.802268520035183</v>
      </c>
      <c r="W143" s="43">
        <v>0.257352941176471</v>
      </c>
      <c r="X143" s="39">
        <f t="shared" si="14"/>
        <v>0.206466163244349</v>
      </c>
      <c r="Y143" s="39"/>
      <c r="Z143" s="39">
        <v>0.64613713355429</v>
      </c>
      <c r="AA143" s="43">
        <v>0.257352941176471</v>
      </c>
      <c r="AB143" s="39">
        <f>Z143*AA143</f>
        <v>0.166285291723531</v>
      </c>
      <c r="AC143" s="36">
        <v>-0.0672054378642282</v>
      </c>
      <c r="AD143" s="39">
        <v>0.04689417841105</v>
      </c>
      <c r="AE143" s="36">
        <v>-0.0365000848502165</v>
      </c>
      <c r="AF143" s="36">
        <v>0.23908563451606</v>
      </c>
      <c r="AG143" s="39">
        <v>-0.0086577090456208</v>
      </c>
      <c r="AH143" s="39">
        <v>0.16628529172353</v>
      </c>
      <c r="AI143" s="43">
        <v>0.679411764705882</v>
      </c>
      <c r="AJ143" s="39">
        <f>AI143-AC143-AD143-AE143-AF143-AG143-AH143</f>
        <v>0.339509891815307</v>
      </c>
    </row>
    <row r="144" spans="1:36">
      <c r="A144" s="35" t="s">
        <v>62</v>
      </c>
      <c r="B144" s="39"/>
      <c r="C144" s="40" t="s">
        <v>75</v>
      </c>
      <c r="D144" s="36" t="s">
        <v>14</v>
      </c>
      <c r="E144" s="39"/>
      <c r="F144" s="39">
        <v>-0.0221438903369722</v>
      </c>
      <c r="G144" s="43">
        <v>1.50484068627452</v>
      </c>
      <c r="H144" s="36">
        <f t="shared" si="10"/>
        <v>-0.033323027131477</v>
      </c>
      <c r="I144" s="39"/>
      <c r="J144" s="39">
        <v>0.012712808072161</v>
      </c>
      <c r="K144" s="43">
        <v>7.10573529411765</v>
      </c>
      <c r="L144" s="39">
        <f t="shared" si="11"/>
        <v>0.0903338490056982</v>
      </c>
      <c r="M144" s="36" t="s">
        <v>11</v>
      </c>
      <c r="N144" s="39">
        <v>3.18486546465179</v>
      </c>
      <c r="O144" s="43">
        <v>0.0615508021390376</v>
      </c>
      <c r="P144" s="36">
        <f t="shared" si="12"/>
        <v>0.196031024054236</v>
      </c>
      <c r="Q144" s="39" t="s">
        <v>12</v>
      </c>
      <c r="R144" s="39">
        <v>-5.12291340219604</v>
      </c>
      <c r="S144" s="43">
        <v>0.004211229946524</v>
      </c>
      <c r="T144" s="39">
        <f t="shared" si="13"/>
        <v>-0.0215737663327771</v>
      </c>
      <c r="U144" s="39" t="s">
        <v>13</v>
      </c>
      <c r="V144" s="39">
        <v>0.802268520035183</v>
      </c>
      <c r="W144" s="43">
        <v>0.257352941176471</v>
      </c>
      <c r="X144" s="39">
        <f t="shared" si="14"/>
        <v>0.206466163244349</v>
      </c>
      <c r="Y144" s="39"/>
      <c r="Z144" s="39">
        <v>0.688531699705031</v>
      </c>
      <c r="AA144" s="43">
        <v>0.257352941176471</v>
      </c>
      <c r="AB144" s="39">
        <f>Z144*AA144</f>
        <v>0.177195658012324</v>
      </c>
      <c r="AC144" s="36">
        <v>-0.0175461782200073</v>
      </c>
      <c r="AD144" s="39">
        <v>0.462000738056195</v>
      </c>
      <c r="AE144" s="36">
        <v>0.326080275332883</v>
      </c>
      <c r="AF144" s="36">
        <v>-0.342734246033907</v>
      </c>
      <c r="AG144" s="39">
        <v>0.00613325727728048</v>
      </c>
      <c r="AH144" s="39">
        <v>0.177195658012324</v>
      </c>
      <c r="AI144" s="43">
        <v>0.679411764705882</v>
      </c>
      <c r="AJ144" s="39">
        <f>AI144-AC144-AD144-AE144-AF144-AG144-AH144</f>
        <v>0.0682822602811138</v>
      </c>
    </row>
    <row r="145" spans="1:36">
      <c r="A145" s="35" t="s">
        <v>62</v>
      </c>
      <c r="B145" s="39"/>
      <c r="C145" s="40" t="s">
        <v>75</v>
      </c>
      <c r="D145" s="36" t="s">
        <v>15</v>
      </c>
      <c r="E145" s="39"/>
      <c r="F145" s="39">
        <v>-0.00686467901924568</v>
      </c>
      <c r="G145" s="43">
        <v>1.87028926955397</v>
      </c>
      <c r="H145" s="36">
        <f t="shared" si="10"/>
        <v>-0.0128389355086275</v>
      </c>
      <c r="I145" s="39"/>
      <c r="J145" s="39">
        <v>0.0262694379587883</v>
      </c>
      <c r="K145" s="43">
        <v>11.0133823529412</v>
      </c>
      <c r="L145" s="39">
        <f t="shared" si="11"/>
        <v>0.289315364437003</v>
      </c>
      <c r="M145" s="36" t="s">
        <v>11</v>
      </c>
      <c r="N145" s="39">
        <v>1.918364251524</v>
      </c>
      <c r="O145" s="43">
        <v>0.0494544229905689</v>
      </c>
      <c r="P145" s="36">
        <f t="shared" si="12"/>
        <v>0.094871597144854</v>
      </c>
      <c r="Q145" s="39" t="s">
        <v>12</v>
      </c>
      <c r="R145" s="39">
        <v>-3.37221728378242</v>
      </c>
      <c r="S145" s="43">
        <v>0.00819039066008097</v>
      </c>
      <c r="T145" s="39">
        <f t="shared" si="13"/>
        <v>-0.0276197769448551</v>
      </c>
      <c r="U145" s="39" t="s">
        <v>13</v>
      </c>
      <c r="V145" s="39">
        <v>0.388228116671332</v>
      </c>
      <c r="W145" s="43">
        <v>0.257352941176471</v>
      </c>
      <c r="X145" s="39">
        <f t="shared" si="14"/>
        <v>0.0999116476727694</v>
      </c>
      <c r="Y145" s="39"/>
      <c r="Z145" s="39">
        <v>0.733103219432839</v>
      </c>
      <c r="AA145" s="43">
        <v>0.257352941176471</v>
      </c>
      <c r="AB145" s="39">
        <f>Z145*AA145</f>
        <v>0.188666269706981</v>
      </c>
      <c r="AC145" s="36">
        <v>-0.0546716695730549</v>
      </c>
      <c r="AD145" s="39">
        <v>0.265257196869073</v>
      </c>
      <c r="AE145" s="36">
        <v>-0.0124424246490071</v>
      </c>
      <c r="AF145" s="36">
        <v>0.229938860550113</v>
      </c>
      <c r="AG145" s="39">
        <v>-0.070652486817928</v>
      </c>
      <c r="AH145" s="39">
        <v>0.188666269706981</v>
      </c>
      <c r="AI145" s="43">
        <v>0.679411764705882</v>
      </c>
      <c r="AJ145" s="39">
        <f>AI145-AC145-AD145-AE145-AF145-AG145-AH145</f>
        <v>0.133316018619705</v>
      </c>
    </row>
    <row r="146" spans="1:36">
      <c r="A146" s="35" t="s">
        <v>63</v>
      </c>
      <c r="B146" s="39"/>
      <c r="C146" s="40" t="s">
        <v>75</v>
      </c>
      <c r="D146" s="36" t="s">
        <v>8</v>
      </c>
      <c r="E146" s="39"/>
      <c r="F146" s="39">
        <v>0.136247215617496</v>
      </c>
      <c r="G146" s="43">
        <v>2.45443802521008</v>
      </c>
      <c r="H146" s="36">
        <f t="shared" si="10"/>
        <v>0.334410346840579</v>
      </c>
      <c r="I146" s="39"/>
      <c r="J146" s="39">
        <v>0.0252135276899405</v>
      </c>
      <c r="K146" s="43">
        <v>3.70073529411765</v>
      </c>
      <c r="L146" s="39">
        <f t="shared" si="11"/>
        <v>0.0933085918113755</v>
      </c>
      <c r="M146" s="36" t="s">
        <v>11</v>
      </c>
      <c r="N146" s="39">
        <v>-2.15167889800446</v>
      </c>
      <c r="O146" s="43">
        <v>0.0391262975778551</v>
      </c>
      <c r="P146" s="36">
        <f t="shared" si="12"/>
        <v>-0.0841872288553138</v>
      </c>
      <c r="Q146" s="39" t="s">
        <v>12</v>
      </c>
      <c r="R146" s="39">
        <v>2.79820461257562</v>
      </c>
      <c r="S146" s="43">
        <v>0.0136029411764704</v>
      </c>
      <c r="T146" s="39">
        <f t="shared" si="13"/>
        <v>0.0380638127445943</v>
      </c>
      <c r="U146" s="39" t="s">
        <v>13</v>
      </c>
      <c r="V146" s="39">
        <v>0.265110302546269</v>
      </c>
      <c r="W146" s="43">
        <v>-0.0970588235294118</v>
      </c>
      <c r="X146" s="39">
        <f t="shared" si="14"/>
        <v>-0.0257312940706673</v>
      </c>
      <c r="Y146" s="39"/>
      <c r="Z146" s="39">
        <v>0.275054744783685</v>
      </c>
      <c r="AA146" s="43">
        <v>-0.0970588235294118</v>
      </c>
      <c r="AB146" s="39">
        <f>Z146*AA146</f>
        <v>-0.0266964899348871</v>
      </c>
      <c r="AC146" s="36">
        <v>-0.10323005631681</v>
      </c>
      <c r="AD146" s="39">
        <v>0.229600719783696</v>
      </c>
      <c r="AE146" s="36">
        <v>-0.15614296232684</v>
      </c>
      <c r="AF146" s="36">
        <v>0.660276435648152</v>
      </c>
      <c r="AG146" s="39">
        <v>0.229408596419317</v>
      </c>
      <c r="AH146" s="39">
        <v>-0.0266964899348871</v>
      </c>
      <c r="AI146" s="43">
        <v>2.33676470588235</v>
      </c>
      <c r="AJ146" s="39">
        <f>AI146-AC146-AD146-AE146-AF146-AG146-AH146</f>
        <v>1.50354846260972</v>
      </c>
    </row>
    <row r="147" spans="1:36">
      <c r="A147" s="35" t="s">
        <v>63</v>
      </c>
      <c r="B147" s="39"/>
      <c r="C147" s="40" t="s">
        <v>75</v>
      </c>
      <c r="D147" s="36" t="s">
        <v>14</v>
      </c>
      <c r="E147" s="39"/>
      <c r="F147" s="39">
        <v>0.0226417597616817</v>
      </c>
      <c r="G147" s="43">
        <v>1.50484068627452</v>
      </c>
      <c r="H147" s="36">
        <f t="shared" si="10"/>
        <v>0.0340722412982319</v>
      </c>
      <c r="I147" s="39"/>
      <c r="J147" s="39">
        <v>0.0996921089191118</v>
      </c>
      <c r="K147" s="43">
        <v>6.57352941176471</v>
      </c>
      <c r="L147" s="39">
        <f t="shared" si="11"/>
        <v>0.655329010100632</v>
      </c>
      <c r="M147" s="36" t="s">
        <v>11</v>
      </c>
      <c r="N147" s="39">
        <v>7.74604116906044</v>
      </c>
      <c r="O147" s="43">
        <v>0.0609342560553626</v>
      </c>
      <c r="P147" s="36">
        <f t="shared" si="12"/>
        <v>0.471999256010909</v>
      </c>
      <c r="Q147" s="39" t="s">
        <v>12</v>
      </c>
      <c r="R147" s="39">
        <v>2.00574789188462</v>
      </c>
      <c r="S147" s="43">
        <v>0.0104692906574394</v>
      </c>
      <c r="T147" s="39">
        <f t="shared" si="13"/>
        <v>0.0209987576656864</v>
      </c>
      <c r="U147" s="39" t="s">
        <v>13</v>
      </c>
      <c r="V147" s="39">
        <v>0.265110302546269</v>
      </c>
      <c r="W147" s="43">
        <v>-0.0970588235294118</v>
      </c>
      <c r="X147" s="39">
        <f t="shared" si="14"/>
        <v>-0.0257312940706673</v>
      </c>
      <c r="Y147" s="39"/>
      <c r="Z147" s="39">
        <v>-0.229469764561451</v>
      </c>
      <c r="AA147" s="43">
        <v>-0.0970588235294118</v>
      </c>
      <c r="AB147" s="39">
        <f>Z147*AA147</f>
        <v>0.0222720653839055</v>
      </c>
      <c r="AC147" s="36">
        <v>0.00225967215170976</v>
      </c>
      <c r="AD147" s="39">
        <v>0.251231340682615</v>
      </c>
      <c r="AE147" s="36">
        <v>-0.0934336584815168</v>
      </c>
      <c r="AF147" s="36">
        <v>1.51818215923389</v>
      </c>
      <c r="AG147" s="39">
        <v>-0.00511872524046939</v>
      </c>
      <c r="AH147" s="39">
        <v>0.0222720653839055</v>
      </c>
      <c r="AI147" s="43">
        <v>2.33676470588235</v>
      </c>
      <c r="AJ147" s="39">
        <f>AI147-AC147-AD147-AE147-AF147-AG147-AH147</f>
        <v>0.641371852152216</v>
      </c>
    </row>
    <row r="148" spans="1:36">
      <c r="A148" s="35" t="s">
        <v>63</v>
      </c>
      <c r="B148" s="39"/>
      <c r="C148" s="40" t="s">
        <v>75</v>
      </c>
      <c r="D148" s="36" t="s">
        <v>15</v>
      </c>
      <c r="E148" s="39"/>
      <c r="F148" s="39">
        <v>0.0706618090863455</v>
      </c>
      <c r="G148" s="43">
        <v>1.87028926955397</v>
      </c>
      <c r="H148" s="36">
        <f t="shared" si="10"/>
        <v>0.132158023301463</v>
      </c>
      <c r="I148" s="39"/>
      <c r="J148" s="39">
        <v>0.0906351168484676</v>
      </c>
      <c r="K148" s="43">
        <v>10.4029411764706</v>
      </c>
      <c r="L148" s="39">
        <f t="shared" si="11"/>
        <v>0.942871789097148</v>
      </c>
      <c r="M148" s="36" t="s">
        <v>11</v>
      </c>
      <c r="N148" s="39">
        <v>7.65204053114949</v>
      </c>
      <c r="O148" s="43">
        <v>0.0498605664488022</v>
      </c>
      <c r="P148" s="36">
        <f t="shared" si="12"/>
        <v>0.381535075372307</v>
      </c>
      <c r="Q148" s="39" t="s">
        <v>12</v>
      </c>
      <c r="R148" s="39">
        <v>3.37674057567048</v>
      </c>
      <c r="S148" s="43">
        <v>0.0106535947712419</v>
      </c>
      <c r="T148" s="39">
        <f t="shared" si="13"/>
        <v>0.0359744257408034</v>
      </c>
      <c r="U148" s="39" t="s">
        <v>13</v>
      </c>
      <c r="V148" s="39">
        <v>-0.28943275559344</v>
      </c>
      <c r="W148" s="43">
        <v>-0.0970588235294118</v>
      </c>
      <c r="X148" s="39">
        <f t="shared" si="14"/>
        <v>0.0280920027487751</v>
      </c>
      <c r="Y148" s="39"/>
      <c r="Z148" s="39">
        <v>0.189957924019582</v>
      </c>
      <c r="AA148" s="43">
        <v>-0.0970588235294118</v>
      </c>
      <c r="AB148" s="39">
        <f>Z148*AA148</f>
        <v>-0.01843709262543</v>
      </c>
      <c r="AC148" s="36">
        <v>0.0908985500918878</v>
      </c>
      <c r="AD148" s="39">
        <v>0.418387309319117</v>
      </c>
      <c r="AE148" s="36">
        <v>-0.210511248893722</v>
      </c>
      <c r="AF148" s="36">
        <v>1.1272164990863</v>
      </c>
      <c r="AG148" s="39">
        <v>0.123629766703265</v>
      </c>
      <c r="AH148" s="39">
        <v>-0.01843709262543</v>
      </c>
      <c r="AI148" s="43">
        <v>2.33676470588235</v>
      </c>
      <c r="AJ148" s="39">
        <f>AI148-AC148-AD148-AE148-AF148-AG148-AH148</f>
        <v>0.805580922200932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1"/>
  <sheetViews>
    <sheetView workbookViewId="0">
      <selection activeCell="F34" sqref="F34"/>
    </sheetView>
  </sheetViews>
  <sheetFormatPr defaultColWidth="9" defaultRowHeight="14"/>
  <cols>
    <col min="1" max="16384" width="9" style="29"/>
  </cols>
  <sheetData>
    <row r="1" spans="1:29">
      <c r="A1" s="30" t="s">
        <v>0</v>
      </c>
      <c r="B1" s="31" t="s">
        <v>64</v>
      </c>
      <c r="C1" s="31" t="s">
        <v>1</v>
      </c>
      <c r="D1" s="32" t="s">
        <v>65</v>
      </c>
      <c r="E1" s="33" t="s">
        <v>2</v>
      </c>
      <c r="F1" s="34" t="s">
        <v>76</v>
      </c>
      <c r="G1" s="34" t="s">
        <v>77</v>
      </c>
      <c r="H1" s="34" t="s">
        <v>78</v>
      </c>
      <c r="I1" s="34" t="s">
        <v>77</v>
      </c>
      <c r="J1" s="36" t="s">
        <v>11</v>
      </c>
      <c r="K1" s="34" t="s">
        <v>77</v>
      </c>
      <c r="L1" s="42" t="s">
        <v>12</v>
      </c>
      <c r="M1" s="34" t="s">
        <v>77</v>
      </c>
      <c r="N1" s="42" t="s">
        <v>13</v>
      </c>
      <c r="O1" s="34" t="s">
        <v>77</v>
      </c>
      <c r="P1" s="42" t="s">
        <v>69</v>
      </c>
      <c r="Q1" s="42" t="s">
        <v>77</v>
      </c>
      <c r="R1" s="42" t="s">
        <v>79</v>
      </c>
      <c r="S1" s="34" t="s">
        <v>76</v>
      </c>
      <c r="T1" s="34" t="s">
        <v>78</v>
      </c>
      <c r="U1" s="36" t="s">
        <v>11</v>
      </c>
      <c r="V1" s="34" t="s">
        <v>12</v>
      </c>
      <c r="W1" s="42" t="s">
        <v>13</v>
      </c>
      <c r="X1" s="42" t="s">
        <v>69</v>
      </c>
      <c r="Y1" s="42" t="s">
        <v>80</v>
      </c>
      <c r="Z1" s="42" t="s">
        <v>81</v>
      </c>
      <c r="AA1" s="42"/>
      <c r="AB1" s="42"/>
      <c r="AC1" s="42"/>
    </row>
    <row r="2" spans="1:29">
      <c r="A2" s="35" t="s">
        <v>6</v>
      </c>
      <c r="B2" s="36" t="s">
        <v>70</v>
      </c>
      <c r="C2" s="29" t="s">
        <v>7</v>
      </c>
      <c r="D2" s="36" t="s">
        <v>71</v>
      </c>
      <c r="E2" s="36" t="s">
        <v>8</v>
      </c>
      <c r="F2" s="36">
        <v>-0.0827424570714681</v>
      </c>
      <c r="G2" s="36">
        <f t="shared" ref="G2:K2" si="0">ABS(F2)</f>
        <v>0.0827424570714681</v>
      </c>
      <c r="H2" s="36">
        <v>-0.0826036354071615</v>
      </c>
      <c r="I2" s="36">
        <f t="shared" si="0"/>
        <v>0.0826036354071615</v>
      </c>
      <c r="J2" s="36">
        <v>-0.823167181542537</v>
      </c>
      <c r="K2" s="36">
        <f t="shared" si="0"/>
        <v>0.823167181542537</v>
      </c>
      <c r="L2" s="39">
        <v>-0.0191666976534176</v>
      </c>
      <c r="M2" s="36">
        <f t="shared" ref="M2:Q2" si="1">ABS(L2)</f>
        <v>0.0191666976534176</v>
      </c>
      <c r="N2" s="39">
        <v>1.79327508949364</v>
      </c>
      <c r="O2" s="36">
        <f t="shared" si="1"/>
        <v>1.79327508949364</v>
      </c>
      <c r="P2" s="39">
        <v>-1.60949775836211</v>
      </c>
      <c r="Q2" s="36">
        <f t="shared" si="1"/>
        <v>1.60949775836211</v>
      </c>
      <c r="R2" s="39">
        <f>G2+I2+K2+M2+O2+Q2+G3+I3+K3+M3</f>
        <v>5.58575812843821</v>
      </c>
      <c r="S2" s="39">
        <f t="shared" ref="S2:S65" si="2">G2/R2*100</f>
        <v>1.48131113393918</v>
      </c>
      <c r="T2" s="39">
        <f t="shared" ref="T2:T65" si="3">I2/R2*100</f>
        <v>1.47882585510837</v>
      </c>
      <c r="U2" s="39">
        <f t="shared" ref="U2:U65" si="4">K2/R2*100</f>
        <v>14.7368926941471</v>
      </c>
      <c r="V2" s="39">
        <f t="shared" ref="V2:V65" si="5">M2/R2*100</f>
        <v>0.343135116356652</v>
      </c>
      <c r="W2" s="39">
        <f t="shared" ref="W2:W65" si="6">O2/R2*100</f>
        <v>32.1044171311987</v>
      </c>
      <c r="X2" s="39">
        <f t="shared" ref="X2:X65" si="7">Q2/R2*100</f>
        <v>28.8143117076237</v>
      </c>
      <c r="Y2" s="43"/>
      <c r="Z2" s="43">
        <v>0.570954165674394</v>
      </c>
      <c r="AA2" s="39"/>
      <c r="AB2" s="43"/>
      <c r="AC2" s="43"/>
    </row>
    <row r="3" spans="1:29">
      <c r="A3" s="35" t="s">
        <v>6</v>
      </c>
      <c r="B3" s="36" t="s">
        <v>70</v>
      </c>
      <c r="C3" s="29" t="s">
        <v>7</v>
      </c>
      <c r="D3" s="36" t="s">
        <v>71</v>
      </c>
      <c r="E3" s="36" t="s">
        <v>14</v>
      </c>
      <c r="F3" s="36">
        <v>0.839380751916171</v>
      </c>
      <c r="G3" s="36">
        <f t="shared" ref="G3:K3" si="8">ABS(F3)</f>
        <v>0.839380751916171</v>
      </c>
      <c r="H3" s="36">
        <v>-0.03036834587577</v>
      </c>
      <c r="I3" s="36">
        <f t="shared" si="8"/>
        <v>0.03036834587577</v>
      </c>
      <c r="J3" s="36">
        <v>-0.234952989193805</v>
      </c>
      <c r="K3" s="36">
        <f t="shared" si="8"/>
        <v>0.234952989193805</v>
      </c>
      <c r="L3" s="39">
        <v>0.0706032219221264</v>
      </c>
      <c r="M3" s="36">
        <f>ABS(L3)</f>
        <v>0.0706032219221264</v>
      </c>
      <c r="N3" s="39">
        <v>1.79327508949363</v>
      </c>
      <c r="O3" s="36">
        <f>ABS(N3)</f>
        <v>1.79327508949363</v>
      </c>
      <c r="P3" s="39">
        <v>0.180449917952378</v>
      </c>
      <c r="Q3" s="36">
        <v>1.60949775836211</v>
      </c>
      <c r="R3" s="39">
        <v>5.5857581284382</v>
      </c>
      <c r="S3" s="39">
        <f t="shared" si="2"/>
        <v>15.027158939137</v>
      </c>
      <c r="T3" s="39">
        <f t="shared" si="3"/>
        <v>0.543674559074779</v>
      </c>
      <c r="U3" s="39">
        <f t="shared" si="4"/>
        <v>4.20628648414998</v>
      </c>
      <c r="V3" s="39">
        <f t="shared" si="5"/>
        <v>1.26398637926464</v>
      </c>
      <c r="W3" s="39">
        <f t="shared" si="6"/>
        <v>32.1044171311986</v>
      </c>
      <c r="X3" s="39">
        <f t="shared" si="7"/>
        <v>28.8143117076237</v>
      </c>
      <c r="Y3" s="43"/>
      <c r="Z3" s="43">
        <v>0.631659533300974</v>
      </c>
      <c r="AA3" s="39"/>
      <c r="AB3" s="43"/>
      <c r="AC3" s="43"/>
    </row>
    <row r="4" spans="1:29">
      <c r="A4" s="35" t="s">
        <v>6</v>
      </c>
      <c r="B4" s="35" t="s">
        <v>82</v>
      </c>
      <c r="C4" s="29" t="s">
        <v>7</v>
      </c>
      <c r="D4" s="36" t="s">
        <v>71</v>
      </c>
      <c r="E4" s="36" t="s">
        <v>15</v>
      </c>
      <c r="F4" s="36">
        <v>0.250119020655534</v>
      </c>
      <c r="G4" s="36">
        <f t="shared" ref="G4:K4" si="9">ABS(F4)</f>
        <v>0.250119020655534</v>
      </c>
      <c r="H4" s="36">
        <v>0.00814925719030283</v>
      </c>
      <c r="I4" s="36">
        <f t="shared" si="9"/>
        <v>0.00814925719030283</v>
      </c>
      <c r="J4" s="36">
        <v>-0.580809194650601</v>
      </c>
      <c r="K4" s="36">
        <f t="shared" si="9"/>
        <v>0.580809194650601</v>
      </c>
      <c r="L4" s="39">
        <v>0.147677114659987</v>
      </c>
      <c r="M4" s="36">
        <f t="shared" ref="M4:Q4" si="10">ABS(L4)</f>
        <v>0.147677114659987</v>
      </c>
      <c r="N4" s="39">
        <v>1.30080620038683</v>
      </c>
      <c r="O4" s="36">
        <f t="shared" si="10"/>
        <v>1.30080620038683</v>
      </c>
      <c r="P4" s="39">
        <v>0.488092689477248</v>
      </c>
      <c r="Q4" s="36">
        <f t="shared" si="10"/>
        <v>0.488092689477248</v>
      </c>
      <c r="R4" s="39">
        <f>G4+I4+K4+M4+O4+Q4</f>
        <v>2.7756534770205</v>
      </c>
      <c r="S4" s="39">
        <f t="shared" si="2"/>
        <v>9.01117602489853</v>
      </c>
      <c r="T4" s="39">
        <f t="shared" si="3"/>
        <v>0.293597787251547</v>
      </c>
      <c r="U4" s="39">
        <f t="shared" si="4"/>
        <v>20.9251334670949</v>
      </c>
      <c r="V4" s="39">
        <f t="shared" si="5"/>
        <v>5.32044492882842</v>
      </c>
      <c r="W4" s="39">
        <f t="shared" si="6"/>
        <v>46.8648630369799</v>
      </c>
      <c r="X4" s="39">
        <f t="shared" si="7"/>
        <v>17.5847847549467</v>
      </c>
      <c r="Y4" s="43"/>
      <c r="Z4" s="43">
        <v>0.638193437795522</v>
      </c>
      <c r="AA4" s="39"/>
      <c r="AB4" s="43"/>
      <c r="AC4" s="43"/>
    </row>
    <row r="5" spans="1:29">
      <c r="A5" s="35" t="s">
        <v>16</v>
      </c>
      <c r="B5" s="36" t="s">
        <v>70</v>
      </c>
      <c r="C5" s="29" t="s">
        <v>7</v>
      </c>
      <c r="D5" s="36" t="s">
        <v>71</v>
      </c>
      <c r="E5" s="36" t="s">
        <v>8</v>
      </c>
      <c r="F5" s="36">
        <v>-0.0737031993078761</v>
      </c>
      <c r="G5" s="36">
        <f t="shared" ref="G5:K5" si="11">ABS(F5)</f>
        <v>0.0737031993078761</v>
      </c>
      <c r="H5" s="36">
        <v>-0.00015155852741125</v>
      </c>
      <c r="I5" s="36">
        <f t="shared" si="11"/>
        <v>0.00015155852741125</v>
      </c>
      <c r="J5" s="36">
        <v>-0.371498721261638</v>
      </c>
      <c r="K5" s="36">
        <f t="shared" si="11"/>
        <v>0.371498721261638</v>
      </c>
      <c r="L5" s="39">
        <v>0.0204451895294003</v>
      </c>
      <c r="M5" s="36">
        <f t="shared" ref="M5:Q5" si="12">ABS(L5)</f>
        <v>0.0204451895294003</v>
      </c>
      <c r="N5" s="39">
        <v>-0.0767919695153614</v>
      </c>
      <c r="O5" s="36">
        <f t="shared" si="12"/>
        <v>0.0767919695153614</v>
      </c>
      <c r="P5" s="39">
        <v>0.0513014438248851</v>
      </c>
      <c r="Q5" s="36">
        <f t="shared" si="12"/>
        <v>0.0513014438248851</v>
      </c>
      <c r="R5" s="39">
        <f>G5+I5+K5+M5+O5+Q5+G6+I6+K6+M6</f>
        <v>1.10139319526293</v>
      </c>
      <c r="S5" s="39">
        <f t="shared" si="2"/>
        <v>6.69181538662779</v>
      </c>
      <c r="T5" s="39">
        <f t="shared" si="3"/>
        <v>0.0137606195555866</v>
      </c>
      <c r="U5" s="39">
        <f t="shared" si="4"/>
        <v>33.7298907292552</v>
      </c>
      <c r="V5" s="39">
        <f t="shared" si="5"/>
        <v>1.85630251006949</v>
      </c>
      <c r="W5" s="39">
        <f t="shared" si="6"/>
        <v>6.97225748675789</v>
      </c>
      <c r="X5" s="39">
        <f t="shared" si="7"/>
        <v>4.65786823865734</v>
      </c>
      <c r="Y5" s="43"/>
      <c r="Z5" s="43">
        <v>0.740588687830063</v>
      </c>
      <c r="AA5" s="39"/>
      <c r="AB5" s="43"/>
      <c r="AC5" s="43"/>
    </row>
    <row r="6" spans="1:29">
      <c r="A6" s="35" t="s">
        <v>16</v>
      </c>
      <c r="B6" s="36" t="s">
        <v>70</v>
      </c>
      <c r="C6" s="29" t="s">
        <v>7</v>
      </c>
      <c r="D6" s="36" t="s">
        <v>71</v>
      </c>
      <c r="E6" s="36" t="s">
        <v>14</v>
      </c>
      <c r="F6" s="36">
        <v>-0.0959667061229404</v>
      </c>
      <c r="G6" s="36">
        <f t="shared" ref="G6:K6" si="13">ABS(F6)</f>
        <v>0.0959667061229404</v>
      </c>
      <c r="H6" s="36">
        <v>0.0331354227190701</v>
      </c>
      <c r="I6" s="36">
        <f t="shared" si="13"/>
        <v>0.0331354227190701</v>
      </c>
      <c r="J6" s="36">
        <v>-0.256345913157011</v>
      </c>
      <c r="K6" s="36">
        <f t="shared" si="13"/>
        <v>0.256345913157011</v>
      </c>
      <c r="L6" s="39">
        <v>-0.122053071297334</v>
      </c>
      <c r="M6" s="36">
        <f t="shared" ref="M6:Q6" si="14">ABS(L6)</f>
        <v>0.122053071297334</v>
      </c>
      <c r="N6" s="39">
        <v>-0.0767919695153614</v>
      </c>
      <c r="O6" s="36">
        <f t="shared" si="14"/>
        <v>0.0767919695153614</v>
      </c>
      <c r="P6" s="39">
        <v>0.00585632112807088</v>
      </c>
      <c r="Q6" s="36">
        <f t="shared" si="14"/>
        <v>0.00585632112807088</v>
      </c>
      <c r="R6" s="39">
        <v>1.10139319526293</v>
      </c>
      <c r="S6" s="39">
        <f t="shared" si="2"/>
        <v>8.71321037170842</v>
      </c>
      <c r="T6" s="39">
        <f t="shared" si="3"/>
        <v>3.00850076626448</v>
      </c>
      <c r="U6" s="39">
        <f t="shared" si="4"/>
        <v>23.2746955637233</v>
      </c>
      <c r="V6" s="39">
        <f t="shared" si="5"/>
        <v>11.0816983273804</v>
      </c>
      <c r="W6" s="39">
        <f t="shared" si="6"/>
        <v>6.97225748675787</v>
      </c>
      <c r="X6" s="39">
        <f t="shared" si="7"/>
        <v>0.531719385343835</v>
      </c>
      <c r="Y6" s="43" t="e">
        <f>S5+T5+U5+#REF!+V5+W5+V6+#REF!+U6+T6+S6+X5</f>
        <v>#REF!</v>
      </c>
      <c r="Z6" s="43">
        <v>0.736472381161695</v>
      </c>
      <c r="AA6" s="39"/>
      <c r="AB6" s="43"/>
      <c r="AC6" s="43"/>
    </row>
    <row r="7" spans="1:29">
      <c r="A7" s="35" t="s">
        <v>16</v>
      </c>
      <c r="B7" s="35" t="s">
        <v>82</v>
      </c>
      <c r="C7" s="29" t="s">
        <v>7</v>
      </c>
      <c r="D7" s="36" t="s">
        <v>71</v>
      </c>
      <c r="E7" s="36" t="s">
        <v>15</v>
      </c>
      <c r="F7" s="36">
        <v>-0.286298370231582</v>
      </c>
      <c r="G7" s="36">
        <f t="shared" ref="G7:K7" si="15">ABS(F7)</f>
        <v>0.286298370231582</v>
      </c>
      <c r="H7" s="36">
        <v>0.0184175089217244</v>
      </c>
      <c r="I7" s="36">
        <f t="shared" si="15"/>
        <v>0.0184175089217244</v>
      </c>
      <c r="J7" s="36">
        <v>-0.537478623515445</v>
      </c>
      <c r="K7" s="36">
        <f t="shared" si="15"/>
        <v>0.537478623515445</v>
      </c>
      <c r="L7" s="39">
        <v>0.062482845612523</v>
      </c>
      <c r="M7" s="36">
        <f t="shared" ref="M7:Q7" si="16">ABS(L7)</f>
        <v>0.062482845612523</v>
      </c>
      <c r="N7" s="39">
        <v>-0.147621417162154</v>
      </c>
      <c r="O7" s="36">
        <f t="shared" si="16"/>
        <v>0.147621417162154</v>
      </c>
      <c r="P7" s="39">
        <v>-0.0779229962566458</v>
      </c>
      <c r="Q7" s="36">
        <f t="shared" si="16"/>
        <v>0.0779229962566458</v>
      </c>
      <c r="R7" s="39">
        <f>G7+I7+K7+M7+O7+Q7</f>
        <v>1.13022176170007</v>
      </c>
      <c r="S7" s="39">
        <f t="shared" si="2"/>
        <v>25.331167734811</v>
      </c>
      <c r="T7" s="39">
        <f t="shared" si="3"/>
        <v>1.62954824848009</v>
      </c>
      <c r="U7" s="39">
        <f t="shared" si="4"/>
        <v>47.555147293127</v>
      </c>
      <c r="V7" s="39">
        <f t="shared" si="5"/>
        <v>5.52837042515768</v>
      </c>
      <c r="W7" s="39">
        <f t="shared" si="6"/>
        <v>13.0612789599895</v>
      </c>
      <c r="X7" s="39">
        <f t="shared" si="7"/>
        <v>6.89448733843475</v>
      </c>
      <c r="Y7" s="43"/>
      <c r="Z7" s="43">
        <v>0.801638279829084</v>
      </c>
      <c r="AA7" s="39"/>
      <c r="AB7" s="43"/>
      <c r="AC7" s="43"/>
    </row>
    <row r="8" spans="1:29">
      <c r="A8" s="35" t="s">
        <v>17</v>
      </c>
      <c r="B8" s="36" t="s">
        <v>70</v>
      </c>
      <c r="C8" s="29" t="s">
        <v>7</v>
      </c>
      <c r="D8" s="36" t="s">
        <v>71</v>
      </c>
      <c r="E8" s="36" t="s">
        <v>8</v>
      </c>
      <c r="F8" s="36">
        <v>0.0808274956698075</v>
      </c>
      <c r="G8" s="36">
        <f t="shared" ref="G8:K8" si="17">ABS(F8)</f>
        <v>0.0808274956698075</v>
      </c>
      <c r="H8" s="36">
        <v>-0.00213422599534809</v>
      </c>
      <c r="I8" s="36">
        <f t="shared" si="17"/>
        <v>0.00213422599534809</v>
      </c>
      <c r="J8" s="36">
        <v>-0.218079386332227</v>
      </c>
      <c r="K8" s="36">
        <f t="shared" si="17"/>
        <v>0.218079386332227</v>
      </c>
      <c r="L8" s="39">
        <v>-0.245231054003482</v>
      </c>
      <c r="M8" s="36">
        <f t="shared" ref="M8:Q8" si="18">ABS(L8)</f>
        <v>0.245231054003482</v>
      </c>
      <c r="N8" s="39">
        <v>0.76908572717928</v>
      </c>
      <c r="O8" s="36">
        <f t="shared" si="18"/>
        <v>0.76908572717928</v>
      </c>
      <c r="P8" s="39">
        <v>0.26665933060098</v>
      </c>
      <c r="Q8" s="36">
        <f t="shared" si="18"/>
        <v>0.26665933060098</v>
      </c>
      <c r="R8" s="39">
        <f>G8+I8+K8+M8+O8+Q8+G9+I9+K9+M9</f>
        <v>3.01969834232494</v>
      </c>
      <c r="S8" s="39">
        <f t="shared" si="2"/>
        <v>2.6766745054268</v>
      </c>
      <c r="T8" s="39">
        <f t="shared" si="3"/>
        <v>0.0706767946133617</v>
      </c>
      <c r="U8" s="39">
        <f t="shared" si="4"/>
        <v>7.22189310354497</v>
      </c>
      <c r="V8" s="39">
        <f t="shared" si="5"/>
        <v>8.12104476020847</v>
      </c>
      <c r="W8" s="39">
        <f t="shared" si="6"/>
        <v>25.4689588161691</v>
      </c>
      <c r="X8" s="39">
        <f t="shared" si="7"/>
        <v>8.83066122411658</v>
      </c>
      <c r="Y8" s="43"/>
      <c r="Z8" s="43">
        <v>0.388129277666764</v>
      </c>
      <c r="AA8" s="39"/>
      <c r="AB8" s="43"/>
      <c r="AC8" s="43"/>
    </row>
    <row r="9" spans="1:29">
      <c r="A9" s="35" t="s">
        <v>17</v>
      </c>
      <c r="B9" s="36" t="s">
        <v>70</v>
      </c>
      <c r="C9" s="29" t="s">
        <v>7</v>
      </c>
      <c r="D9" s="36" t="s">
        <v>71</v>
      </c>
      <c r="E9" s="36" t="s">
        <v>14</v>
      </c>
      <c r="F9" s="36">
        <v>0.844028693515566</v>
      </c>
      <c r="G9" s="36">
        <f t="shared" ref="G9:K9" si="19">ABS(F9)</f>
        <v>0.844028693515566</v>
      </c>
      <c r="H9" s="36">
        <v>0.0170074334479765</v>
      </c>
      <c r="I9" s="36">
        <f t="shared" si="19"/>
        <v>0.0170074334479765</v>
      </c>
      <c r="J9" s="36">
        <v>0.479822482279973</v>
      </c>
      <c r="K9" s="36">
        <f t="shared" si="19"/>
        <v>0.479822482279973</v>
      </c>
      <c r="L9" s="39">
        <v>0.0968225133003038</v>
      </c>
      <c r="M9" s="36">
        <f t="shared" ref="M9:Q9" si="20">ABS(L9)</f>
        <v>0.0968225133003038</v>
      </c>
      <c r="N9" s="39">
        <v>0.76908572717928</v>
      </c>
      <c r="O9" s="36">
        <f t="shared" si="20"/>
        <v>0.76908572717928</v>
      </c>
      <c r="P9" s="39">
        <v>0.870146151990479</v>
      </c>
      <c r="Q9" s="36">
        <f t="shared" si="20"/>
        <v>0.870146151990479</v>
      </c>
      <c r="R9" s="39">
        <v>3.01969834232494</v>
      </c>
      <c r="S9" s="39">
        <f t="shared" si="2"/>
        <v>27.950761891856</v>
      </c>
      <c r="T9" s="39">
        <f t="shared" si="3"/>
        <v>0.563216305734766</v>
      </c>
      <c r="U9" s="39">
        <f t="shared" si="4"/>
        <v>15.8897488386388</v>
      </c>
      <c r="V9" s="39">
        <f t="shared" si="5"/>
        <v>3.20636375969123</v>
      </c>
      <c r="W9" s="39">
        <f t="shared" si="6"/>
        <v>25.4689588161691</v>
      </c>
      <c r="X9" s="39">
        <f t="shared" si="7"/>
        <v>28.8156647898986</v>
      </c>
      <c r="Y9" s="43"/>
      <c r="Z9" s="43">
        <v>0.601236132544824</v>
      </c>
      <c r="AA9" s="39"/>
      <c r="AB9" s="43"/>
      <c r="AC9" s="43"/>
    </row>
    <row r="10" spans="1:29">
      <c r="A10" s="35" t="s">
        <v>17</v>
      </c>
      <c r="B10" s="35" t="s">
        <v>82</v>
      </c>
      <c r="C10" s="29" t="s">
        <v>7</v>
      </c>
      <c r="D10" s="36" t="s">
        <v>71</v>
      </c>
      <c r="E10" s="36" t="s">
        <v>15</v>
      </c>
      <c r="F10" s="36">
        <v>0.713308162790618</v>
      </c>
      <c r="G10" s="36">
        <f t="shared" ref="G10:K10" si="21">ABS(F10)</f>
        <v>0.713308162790618</v>
      </c>
      <c r="H10" s="36">
        <v>0.0336752206399665</v>
      </c>
      <c r="I10" s="36">
        <f t="shared" si="21"/>
        <v>0.0336752206399665</v>
      </c>
      <c r="J10" s="36">
        <v>0.244282866831164</v>
      </c>
      <c r="K10" s="36">
        <f t="shared" si="21"/>
        <v>0.244282866831164</v>
      </c>
      <c r="L10" s="39">
        <v>-0.0283746005920042</v>
      </c>
      <c r="M10" s="36">
        <f t="shared" ref="M10:Q10" si="22">ABS(L10)</f>
        <v>0.0283746005920042</v>
      </c>
      <c r="N10" s="39">
        <v>0.844279222548991</v>
      </c>
      <c r="O10" s="36">
        <f t="shared" si="22"/>
        <v>0.844279222548991</v>
      </c>
      <c r="P10" s="39">
        <v>1.05072386462337</v>
      </c>
      <c r="Q10" s="36">
        <f t="shared" si="22"/>
        <v>1.05072386462337</v>
      </c>
      <c r="R10" s="39">
        <f>G10+I10+K10+M10+O10+Q10</f>
        <v>2.91464393802611</v>
      </c>
      <c r="S10" s="39">
        <f t="shared" si="2"/>
        <v>24.4732522379283</v>
      </c>
      <c r="T10" s="39">
        <f t="shared" si="3"/>
        <v>1.15538025762325</v>
      </c>
      <c r="U10" s="39">
        <f t="shared" si="4"/>
        <v>8.38122501497043</v>
      </c>
      <c r="V10" s="39">
        <f t="shared" si="5"/>
        <v>0.973518590789527</v>
      </c>
      <c r="W10" s="39">
        <f t="shared" si="6"/>
        <v>28.9668048825464</v>
      </c>
      <c r="X10" s="39">
        <f t="shared" si="7"/>
        <v>36.0498190161421</v>
      </c>
      <c r="Y10" s="43"/>
      <c r="Z10" s="43">
        <v>0.559392532803833</v>
      </c>
      <c r="AA10" s="39"/>
      <c r="AB10" s="43"/>
      <c r="AC10" s="43"/>
    </row>
    <row r="11" spans="1:29">
      <c r="A11" s="37" t="s">
        <v>18</v>
      </c>
      <c r="B11" s="36"/>
      <c r="C11" s="29"/>
      <c r="D11" s="36" t="s">
        <v>71</v>
      </c>
      <c r="E11" s="36" t="s">
        <v>8</v>
      </c>
      <c r="F11" s="38">
        <v>0.00513288599886753</v>
      </c>
      <c r="G11" s="36">
        <f t="shared" ref="G11:K11" si="23">ABS(F11)</f>
        <v>0.00513288599886753</v>
      </c>
      <c r="H11" s="38">
        <v>-0.0104577114001898</v>
      </c>
      <c r="I11" s="36">
        <f t="shared" si="23"/>
        <v>0.0104577114001898</v>
      </c>
      <c r="J11" s="38">
        <v>-0.0866173388600911</v>
      </c>
      <c r="K11" s="36">
        <f t="shared" si="23"/>
        <v>0.0866173388600911</v>
      </c>
      <c r="L11" s="41">
        <v>0.0531656512105244</v>
      </c>
      <c r="M11" s="36">
        <f t="shared" ref="M11:Q11" si="24">ABS(L11)</f>
        <v>0.0531656512105244</v>
      </c>
      <c r="N11" s="39">
        <v>0.0984612454274877</v>
      </c>
      <c r="O11" s="36">
        <f t="shared" si="24"/>
        <v>0.0984612454274877</v>
      </c>
      <c r="P11" s="39">
        <v>-0.168275420982506</v>
      </c>
      <c r="Q11" s="36">
        <f t="shared" si="24"/>
        <v>0.168275420982506</v>
      </c>
      <c r="R11" s="39">
        <f>G11+I11+K11+M11+O11+Q11+G12+I12+K12+M12</f>
        <v>0.510957648427002</v>
      </c>
      <c r="S11" s="39">
        <f t="shared" si="2"/>
        <v>1.00456192693646</v>
      </c>
      <c r="T11" s="39">
        <f t="shared" si="3"/>
        <v>2.04668849412161</v>
      </c>
      <c r="U11" s="39">
        <f t="shared" si="4"/>
        <v>16.9519605248586</v>
      </c>
      <c r="V11" s="39">
        <f t="shared" si="5"/>
        <v>10.4050993999594</v>
      </c>
      <c r="W11" s="39">
        <f t="shared" si="6"/>
        <v>19.2699425736367</v>
      </c>
      <c r="X11" s="39">
        <f t="shared" si="7"/>
        <v>32.9333402681312</v>
      </c>
      <c r="Y11" s="43"/>
      <c r="Z11" s="43">
        <v>0.254779585100214</v>
      </c>
      <c r="AA11" s="39"/>
      <c r="AB11" s="43"/>
      <c r="AC11" s="43"/>
    </row>
    <row r="12" spans="1:29">
      <c r="A12" s="37" t="s">
        <v>18</v>
      </c>
      <c r="B12" s="36"/>
      <c r="C12" s="29"/>
      <c r="D12" s="36" t="s">
        <v>71</v>
      </c>
      <c r="E12" s="36" t="s">
        <v>14</v>
      </c>
      <c r="F12" s="38">
        <v>0.0368399045218886</v>
      </c>
      <c r="G12" s="36">
        <f t="shared" ref="G12:K12" si="25">ABS(F12)</f>
        <v>0.0368399045218886</v>
      </c>
      <c r="H12" s="38">
        <v>0.0131452718905843</v>
      </c>
      <c r="I12" s="36">
        <f t="shared" si="25"/>
        <v>0.0131452718905843</v>
      </c>
      <c r="J12" s="38">
        <v>-0.0369079952923011</v>
      </c>
      <c r="K12" s="36">
        <f t="shared" si="25"/>
        <v>0.0369079952923011</v>
      </c>
      <c r="L12" s="41">
        <v>0.00195422284256131</v>
      </c>
      <c r="M12" s="36">
        <f t="shared" ref="M12:Q12" si="26">ABS(L12)</f>
        <v>0.00195422284256131</v>
      </c>
      <c r="N12" s="39">
        <v>0.0984612454274877</v>
      </c>
      <c r="O12" s="36">
        <f t="shared" si="26"/>
        <v>0.0984612454274877</v>
      </c>
      <c r="P12" s="39">
        <v>-0.0279519390852999</v>
      </c>
      <c r="Q12" s="36">
        <f t="shared" si="26"/>
        <v>0.0279519390852999</v>
      </c>
      <c r="R12" s="39">
        <v>0.510957648427002</v>
      </c>
      <c r="S12" s="39">
        <f t="shared" si="2"/>
        <v>7.20997222280581</v>
      </c>
      <c r="T12" s="39">
        <f t="shared" si="3"/>
        <v>2.57267347519944</v>
      </c>
      <c r="U12" s="39">
        <f t="shared" si="4"/>
        <v>7.22329833126551</v>
      </c>
      <c r="V12" s="39">
        <f t="shared" si="5"/>
        <v>0.382462783085338</v>
      </c>
      <c r="W12" s="39">
        <f t="shared" si="6"/>
        <v>19.2699425736367</v>
      </c>
      <c r="X12" s="39">
        <f t="shared" si="7"/>
        <v>5.47050018163947</v>
      </c>
      <c r="Y12" s="43"/>
      <c r="Z12" s="43">
        <v>0.541349955617575</v>
      </c>
      <c r="AA12" s="39"/>
      <c r="AB12" s="43"/>
      <c r="AC12" s="43"/>
    </row>
    <row r="13" spans="1:29">
      <c r="A13" s="37" t="s">
        <v>18</v>
      </c>
      <c r="B13" s="35" t="s">
        <v>82</v>
      </c>
      <c r="C13" s="29"/>
      <c r="D13" s="36" t="s">
        <v>71</v>
      </c>
      <c r="E13" s="36" t="s">
        <v>15</v>
      </c>
      <c r="F13" s="38">
        <v>0.0302465305978668</v>
      </c>
      <c r="G13" s="36">
        <f t="shared" ref="G13:K13" si="27">ABS(F13)</f>
        <v>0.0302465305978668</v>
      </c>
      <c r="H13" s="38">
        <v>0.00317139684849558</v>
      </c>
      <c r="I13" s="36">
        <f t="shared" si="27"/>
        <v>0.00317139684849558</v>
      </c>
      <c r="J13" s="38">
        <v>-0.106807084520498</v>
      </c>
      <c r="K13" s="36">
        <f t="shared" si="27"/>
        <v>0.106807084520498</v>
      </c>
      <c r="L13" s="41">
        <v>0.0504081302500058</v>
      </c>
      <c r="M13" s="36">
        <f t="shared" ref="M13:Q13" si="28">ABS(L13)</f>
        <v>0.0504081302500058</v>
      </c>
      <c r="N13" s="39">
        <v>0.105291819674063</v>
      </c>
      <c r="O13" s="36">
        <f t="shared" si="28"/>
        <v>0.105291819674063</v>
      </c>
      <c r="P13" s="39">
        <v>-0.0774088320656199</v>
      </c>
      <c r="Q13" s="36">
        <f t="shared" si="28"/>
        <v>0.0774088320656199</v>
      </c>
      <c r="R13" s="39">
        <f>G13+I13+K13+M13+O13+Q13</f>
        <v>0.373333793956549</v>
      </c>
      <c r="S13" s="39">
        <f t="shared" si="2"/>
        <v>8.10173927126112</v>
      </c>
      <c r="T13" s="39">
        <f t="shared" si="3"/>
        <v>0.849480250605089</v>
      </c>
      <c r="U13" s="39">
        <f t="shared" si="4"/>
        <v>28.6090051984228</v>
      </c>
      <c r="V13" s="39">
        <f t="shared" si="5"/>
        <v>13.5021610864064</v>
      </c>
      <c r="W13" s="39">
        <f t="shared" si="6"/>
        <v>28.2031311867571</v>
      </c>
      <c r="X13" s="39">
        <f t="shared" si="7"/>
        <v>20.7344830065475</v>
      </c>
      <c r="Y13" s="43"/>
      <c r="Z13" s="43">
        <v>0.480034143329525</v>
      </c>
      <c r="AA13" s="39"/>
      <c r="AB13" s="43"/>
      <c r="AC13" s="43"/>
    </row>
    <row r="14" spans="1:34">
      <c r="A14" s="35" t="s">
        <v>19</v>
      </c>
      <c r="B14" s="39"/>
      <c r="C14" s="39"/>
      <c r="D14" s="36" t="s">
        <v>71</v>
      </c>
      <c r="E14" s="36" t="s">
        <v>8</v>
      </c>
      <c r="F14" s="36">
        <v>0.735744312720999</v>
      </c>
      <c r="G14" s="36">
        <f t="shared" ref="G14:K14" si="29">ABS(F14)</f>
        <v>0.735744312720999</v>
      </c>
      <c r="H14" s="36">
        <v>1.50541644571834</v>
      </c>
      <c r="I14" s="36">
        <f t="shared" si="29"/>
        <v>1.50541644571834</v>
      </c>
      <c r="J14" s="36">
        <v>0.327643338174522</v>
      </c>
      <c r="K14" s="36">
        <f t="shared" si="29"/>
        <v>0.327643338174522</v>
      </c>
      <c r="L14" s="39">
        <v>-0.143287617920317</v>
      </c>
      <c r="M14" s="36">
        <f t="shared" ref="M14:Q14" si="30">ABS(L14)</f>
        <v>0.143287617920317</v>
      </c>
      <c r="N14" s="39">
        <v>0.119764631347618</v>
      </c>
      <c r="O14" s="36">
        <f t="shared" si="30"/>
        <v>0.119764631347618</v>
      </c>
      <c r="P14" s="39">
        <v>-0.521574525326025</v>
      </c>
      <c r="Q14" s="36">
        <f t="shared" si="30"/>
        <v>0.521574525326025</v>
      </c>
      <c r="R14" s="39">
        <f>G14+I14+K14+M14+O14+Q14+G15+I15+K15+M15</f>
        <v>5.35670854369318</v>
      </c>
      <c r="S14" s="39">
        <f t="shared" si="2"/>
        <v>13.7350073598318</v>
      </c>
      <c r="T14" s="39">
        <f t="shared" si="3"/>
        <v>28.1033853800161</v>
      </c>
      <c r="U14" s="39">
        <f t="shared" si="4"/>
        <v>6.11650485558486</v>
      </c>
      <c r="V14" s="39">
        <f t="shared" si="5"/>
        <v>2.67491906179998</v>
      </c>
      <c r="W14" s="39">
        <f t="shared" si="6"/>
        <v>2.23578771125461</v>
      </c>
      <c r="X14" s="39">
        <f t="shared" si="7"/>
        <v>9.73684719024168</v>
      </c>
      <c r="Y14" s="43"/>
      <c r="Z14" s="43">
        <v>0.376739570448651</v>
      </c>
      <c r="AA14" s="34"/>
      <c r="AB14" s="34"/>
      <c r="AC14" s="36"/>
      <c r="AD14" s="34"/>
      <c r="AE14" s="42"/>
      <c r="AF14" s="42"/>
      <c r="AG14" s="42"/>
      <c r="AH14" s="42"/>
    </row>
    <row r="15" spans="1:34">
      <c r="A15" s="35" t="s">
        <v>19</v>
      </c>
      <c r="B15" s="39"/>
      <c r="C15" s="39"/>
      <c r="D15" s="36" t="s">
        <v>71</v>
      </c>
      <c r="E15" s="36" t="s">
        <v>14</v>
      </c>
      <c r="F15" s="36">
        <v>-0.203619849776565</v>
      </c>
      <c r="G15" s="36">
        <f t="shared" ref="G15:K15" si="31">ABS(F15)</f>
        <v>0.203619849776565</v>
      </c>
      <c r="H15" s="36">
        <v>0.0819879855592159</v>
      </c>
      <c r="I15" s="36">
        <f t="shared" si="31"/>
        <v>0.0819879855592159</v>
      </c>
      <c r="J15" s="36">
        <v>-0.534587987999553</v>
      </c>
      <c r="K15" s="36">
        <f t="shared" si="31"/>
        <v>0.534587987999553</v>
      </c>
      <c r="L15" s="39">
        <v>-1.18308184915002</v>
      </c>
      <c r="M15" s="36">
        <f t="shared" ref="M15:Q15" si="32">ABS(L15)</f>
        <v>1.18308184915002</v>
      </c>
      <c r="N15" s="39">
        <v>0.119764631347618</v>
      </c>
      <c r="O15" s="36">
        <f t="shared" si="32"/>
        <v>0.119764631347618</v>
      </c>
      <c r="P15" s="39">
        <v>-0.310380142480762</v>
      </c>
      <c r="Q15" s="36">
        <f t="shared" si="32"/>
        <v>0.310380142480762</v>
      </c>
      <c r="R15" s="39">
        <v>5.35670854369318</v>
      </c>
      <c r="S15" s="39">
        <f t="shared" si="2"/>
        <v>3.80121203376466</v>
      </c>
      <c r="T15" s="39">
        <f t="shared" si="3"/>
        <v>1.53056648295241</v>
      </c>
      <c r="U15" s="39">
        <f t="shared" si="4"/>
        <v>9.97978485555202</v>
      </c>
      <c r="V15" s="39">
        <f t="shared" si="5"/>
        <v>22.0859850690018</v>
      </c>
      <c r="W15" s="39">
        <f t="shared" si="6"/>
        <v>2.23578771125461</v>
      </c>
      <c r="X15" s="39">
        <f t="shared" si="7"/>
        <v>5.79423240874648</v>
      </c>
      <c r="Y15" s="43"/>
      <c r="Z15" s="43">
        <v>0.121389895680512</v>
      </c>
      <c r="AA15" s="39"/>
      <c r="AB15" s="39"/>
      <c r="AC15" s="39"/>
      <c r="AD15" s="39"/>
      <c r="AE15" s="39"/>
      <c r="AF15" s="39"/>
      <c r="AG15" s="43"/>
      <c r="AH15" s="43"/>
    </row>
    <row r="16" spans="1:34">
      <c r="A16" s="35" t="s">
        <v>19</v>
      </c>
      <c r="B16" s="35" t="s">
        <v>83</v>
      </c>
      <c r="C16" s="39"/>
      <c r="D16" s="36" t="s">
        <v>71</v>
      </c>
      <c r="E16" s="36" t="s">
        <v>15</v>
      </c>
      <c r="F16" s="36">
        <v>0.179000546294586</v>
      </c>
      <c r="G16" s="36">
        <f t="shared" ref="G16:K16" si="33">ABS(F16)</f>
        <v>0.179000546294586</v>
      </c>
      <c r="H16" s="36">
        <v>0.239336629181499</v>
      </c>
      <c r="I16" s="36">
        <f t="shared" si="33"/>
        <v>0.239336629181499</v>
      </c>
      <c r="J16" s="36">
        <v>0.228719041843393</v>
      </c>
      <c r="K16" s="36">
        <f t="shared" si="33"/>
        <v>0.228719041843393</v>
      </c>
      <c r="L16" s="39">
        <v>-0.511615486872287</v>
      </c>
      <c r="M16" s="36">
        <f t="shared" ref="M16:Q16" si="34">ABS(L16)</f>
        <v>0.511615486872287</v>
      </c>
      <c r="N16" s="39">
        <v>0.0814734048711577</v>
      </c>
      <c r="O16" s="36">
        <f t="shared" si="34"/>
        <v>0.0814734048711577</v>
      </c>
      <c r="P16" s="39">
        <v>0.0872553793774819</v>
      </c>
      <c r="Q16" s="36">
        <f t="shared" si="34"/>
        <v>0.0872553793774819</v>
      </c>
      <c r="R16" s="39">
        <f>G16+I16+K16+M16+O16+Q16</f>
        <v>1.3274004884404</v>
      </c>
      <c r="S16" s="39">
        <f t="shared" si="2"/>
        <v>13.4850444800497</v>
      </c>
      <c r="T16" s="39">
        <f t="shared" si="3"/>
        <v>18.0304762026042</v>
      </c>
      <c r="U16" s="39">
        <f t="shared" si="4"/>
        <v>17.2305979872074</v>
      </c>
      <c r="V16" s="39">
        <f t="shared" si="5"/>
        <v>38.542662243058</v>
      </c>
      <c r="W16" s="39">
        <f t="shared" si="6"/>
        <v>6.13781639984801</v>
      </c>
      <c r="X16" s="39">
        <f t="shared" si="7"/>
        <v>6.57340268723273</v>
      </c>
      <c r="Y16" s="43"/>
      <c r="Z16" s="43">
        <v>0.359362514590394</v>
      </c>
      <c r="AA16" s="39"/>
      <c r="AB16" s="39"/>
      <c r="AC16" s="39"/>
      <c r="AD16" s="39"/>
      <c r="AE16" s="39"/>
      <c r="AF16" s="39"/>
      <c r="AG16" s="43"/>
      <c r="AH16" s="43"/>
    </row>
    <row r="17" spans="1:34">
      <c r="A17" s="37" t="s">
        <v>20</v>
      </c>
      <c r="B17" s="39"/>
      <c r="C17" s="39"/>
      <c r="D17" s="36" t="s">
        <v>71</v>
      </c>
      <c r="E17" s="36" t="s">
        <v>8</v>
      </c>
      <c r="F17" s="38">
        <v>0.0562597153928893</v>
      </c>
      <c r="G17" s="36">
        <f t="shared" ref="G17:K17" si="35">ABS(F17)</f>
        <v>0.0562597153928893</v>
      </c>
      <c r="H17" s="38">
        <v>1.05460459324074</v>
      </c>
      <c r="I17" s="36">
        <f t="shared" si="35"/>
        <v>1.05460459324074</v>
      </c>
      <c r="J17" s="36">
        <v>-0.0908200607007988</v>
      </c>
      <c r="K17" s="36">
        <f t="shared" si="35"/>
        <v>0.0908200607007988</v>
      </c>
      <c r="L17" s="39">
        <v>0.218697812719075</v>
      </c>
      <c r="M17" s="36">
        <f t="shared" ref="M17:Q17" si="36">ABS(L17)</f>
        <v>0.218697812719075</v>
      </c>
      <c r="N17" s="39">
        <v>-0.0262922810487024</v>
      </c>
      <c r="O17" s="36">
        <f t="shared" si="36"/>
        <v>0.0262922810487024</v>
      </c>
      <c r="P17" s="39">
        <v>0.0137503815310959</v>
      </c>
      <c r="Q17" s="36">
        <f t="shared" si="36"/>
        <v>0.0137503815310959</v>
      </c>
      <c r="R17" s="39">
        <f>G17+I17+K17+M17+O17+Q17+G18+I18+K18+M18</f>
        <v>3.39894401927601</v>
      </c>
      <c r="S17" s="39">
        <f t="shared" si="2"/>
        <v>1.6552115914187</v>
      </c>
      <c r="T17" s="39">
        <f t="shared" si="3"/>
        <v>31.027418729461</v>
      </c>
      <c r="U17" s="39">
        <f t="shared" si="4"/>
        <v>2.67200813504848</v>
      </c>
      <c r="V17" s="39">
        <f t="shared" si="5"/>
        <v>6.4342869867465</v>
      </c>
      <c r="W17" s="39">
        <f t="shared" si="6"/>
        <v>0.773542632641026</v>
      </c>
      <c r="X17" s="39">
        <f t="shared" si="7"/>
        <v>0.40454863196084</v>
      </c>
      <c r="Y17" s="44"/>
      <c r="Z17" s="43">
        <v>0.418990246682687</v>
      </c>
      <c r="AA17" s="39"/>
      <c r="AB17" s="39"/>
      <c r="AC17" s="39"/>
      <c r="AD17" s="39"/>
      <c r="AE17" s="39"/>
      <c r="AF17" s="39"/>
      <c r="AG17" s="43"/>
      <c r="AH17" s="43"/>
    </row>
    <row r="18" spans="1:34">
      <c r="A18" s="37" t="s">
        <v>20</v>
      </c>
      <c r="B18" s="39"/>
      <c r="C18" s="39"/>
      <c r="D18" s="36" t="s">
        <v>71</v>
      </c>
      <c r="E18" s="36" t="s">
        <v>14</v>
      </c>
      <c r="F18" s="38">
        <v>0.0341813606293897</v>
      </c>
      <c r="G18" s="36">
        <f t="shared" ref="G18:K18" si="37">ABS(F18)</f>
        <v>0.0341813606293897</v>
      </c>
      <c r="H18" s="38">
        <v>0.0201733062570129</v>
      </c>
      <c r="I18" s="36">
        <f t="shared" si="37"/>
        <v>0.0201733062570129</v>
      </c>
      <c r="J18" s="36">
        <v>-0.663436820248271</v>
      </c>
      <c r="K18" s="36">
        <f t="shared" si="37"/>
        <v>0.663436820248271</v>
      </c>
      <c r="L18" s="39">
        <v>-1.22072768750804</v>
      </c>
      <c r="M18" s="36">
        <f t="shared" ref="M18:Q18" si="38">ABS(L18)</f>
        <v>1.22072768750804</v>
      </c>
      <c r="N18" s="39">
        <v>-0.0262922810487024</v>
      </c>
      <c r="O18" s="36">
        <f t="shared" si="38"/>
        <v>0.0262922810487024</v>
      </c>
      <c r="P18" s="39">
        <v>-0.167192132685506</v>
      </c>
      <c r="Q18" s="36">
        <f t="shared" si="38"/>
        <v>0.167192132685506</v>
      </c>
      <c r="R18" s="39">
        <v>3.39894401927601</v>
      </c>
      <c r="S18" s="39">
        <f t="shared" si="2"/>
        <v>1.00564647242029</v>
      </c>
      <c r="T18" s="39">
        <f t="shared" si="3"/>
        <v>0.593516872964266</v>
      </c>
      <c r="U18" s="39">
        <f t="shared" si="4"/>
        <v>19.5189098874769</v>
      </c>
      <c r="V18" s="39">
        <f t="shared" si="5"/>
        <v>35.9149100598621</v>
      </c>
      <c r="W18" s="39">
        <f t="shared" si="6"/>
        <v>0.773542632641028</v>
      </c>
      <c r="X18" s="39">
        <f t="shared" si="7"/>
        <v>4.91894340528499</v>
      </c>
      <c r="Y18" s="44"/>
      <c r="Z18" s="43">
        <v>0.352254230541784</v>
      </c>
      <c r="AA18" s="39"/>
      <c r="AB18" s="39"/>
      <c r="AC18" s="39"/>
      <c r="AD18" s="39"/>
      <c r="AE18" s="39"/>
      <c r="AF18" s="39"/>
      <c r="AG18" s="43"/>
      <c r="AH18" s="43"/>
    </row>
    <row r="19" spans="1:34">
      <c r="A19" s="37" t="s">
        <v>20</v>
      </c>
      <c r="B19" s="35" t="s">
        <v>82</v>
      </c>
      <c r="C19" s="39"/>
      <c r="D19" s="36" t="s">
        <v>71</v>
      </c>
      <c r="E19" s="36" t="s">
        <v>15</v>
      </c>
      <c r="F19" s="36">
        <v>-0.0775491007751109</v>
      </c>
      <c r="G19" s="36">
        <f t="shared" ref="G19:K19" si="39">ABS(F19)</f>
        <v>0.0775491007751109</v>
      </c>
      <c r="H19" s="38">
        <v>0.0761482378568669</v>
      </c>
      <c r="I19" s="36">
        <f t="shared" si="39"/>
        <v>0.0761482378568669</v>
      </c>
      <c r="J19" s="36">
        <v>-0.249278764605797</v>
      </c>
      <c r="K19" s="36">
        <f t="shared" si="39"/>
        <v>0.249278764605797</v>
      </c>
      <c r="L19" s="39">
        <v>-0.200906725943204</v>
      </c>
      <c r="M19" s="36">
        <f t="shared" ref="M19:Q19" si="40">ABS(L19)</f>
        <v>0.200906725943204</v>
      </c>
      <c r="N19" s="39">
        <v>-0.0109331452936188</v>
      </c>
      <c r="O19" s="36">
        <f t="shared" si="40"/>
        <v>0.0109331452936188</v>
      </c>
      <c r="P19" s="39">
        <v>-0.16738246202345</v>
      </c>
      <c r="Q19" s="36">
        <f t="shared" si="40"/>
        <v>0.16738246202345</v>
      </c>
      <c r="R19" s="39">
        <f>G19+I19+K19+M19+O19+Q19</f>
        <v>0.782198436498048</v>
      </c>
      <c r="S19" s="39">
        <f t="shared" si="2"/>
        <v>9.91424901362667</v>
      </c>
      <c r="T19" s="39">
        <f t="shared" si="3"/>
        <v>9.73515597880602</v>
      </c>
      <c r="U19" s="39">
        <f t="shared" si="4"/>
        <v>31.8689929529691</v>
      </c>
      <c r="V19" s="39">
        <f t="shared" si="5"/>
        <v>25.6848795099459</v>
      </c>
      <c r="W19" s="39">
        <f t="shared" si="6"/>
        <v>1.39774573605225</v>
      </c>
      <c r="X19" s="39">
        <f t="shared" si="7"/>
        <v>21.3989768086001</v>
      </c>
      <c r="Y19" s="44"/>
      <c r="Z19" s="43">
        <v>0.347571344163154</v>
      </c>
      <c r="AA19" s="39"/>
      <c r="AB19" s="39"/>
      <c r="AC19" s="39"/>
      <c r="AD19" s="39"/>
      <c r="AE19" s="39"/>
      <c r="AF19" s="39"/>
      <c r="AG19" s="43"/>
      <c r="AH19" s="43"/>
    </row>
    <row r="20" spans="1:34">
      <c r="A20" s="35" t="s">
        <v>21</v>
      </c>
      <c r="B20" s="39"/>
      <c r="C20" s="39"/>
      <c r="D20" s="36" t="s">
        <v>71</v>
      </c>
      <c r="E20" s="36" t="s">
        <v>8</v>
      </c>
      <c r="F20" s="36">
        <v>-0.0711153934823489</v>
      </c>
      <c r="G20" s="36">
        <f t="shared" ref="G20:K20" si="41">ABS(F20)</f>
        <v>0.0711153934823489</v>
      </c>
      <c r="H20" s="39">
        <v>0.0805651166381517</v>
      </c>
      <c r="I20" s="36">
        <f t="shared" si="41"/>
        <v>0.0805651166381517</v>
      </c>
      <c r="J20" s="36">
        <v>0.0181987624147632</v>
      </c>
      <c r="K20" s="36">
        <f t="shared" si="41"/>
        <v>0.0181987624147632</v>
      </c>
      <c r="L20" s="39">
        <v>-0.0275509550670788</v>
      </c>
      <c r="M20" s="36">
        <f t="shared" ref="M20:Q20" si="42">ABS(L20)</f>
        <v>0.0275509550670788</v>
      </c>
      <c r="N20" s="39">
        <v>-0.244421853759923</v>
      </c>
      <c r="O20" s="36">
        <f t="shared" si="42"/>
        <v>0.244421853759923</v>
      </c>
      <c r="P20" s="39">
        <v>-0.259365255981444</v>
      </c>
      <c r="Q20" s="36">
        <f t="shared" si="42"/>
        <v>0.259365255981444</v>
      </c>
      <c r="R20" s="39">
        <f>G20+I20+K20+M20+O20+Q20+G21+I21+K21+M21</f>
        <v>1.00445218528847</v>
      </c>
      <c r="S20" s="39">
        <f t="shared" si="2"/>
        <v>7.08001779715629</v>
      </c>
      <c r="T20" s="39">
        <f t="shared" si="3"/>
        <v>8.02080156906764</v>
      </c>
      <c r="U20" s="39">
        <f t="shared" si="4"/>
        <v>1.811809728856</v>
      </c>
      <c r="V20" s="39">
        <f t="shared" si="5"/>
        <v>2.74288368033829</v>
      </c>
      <c r="W20" s="39">
        <f t="shared" si="6"/>
        <v>24.333846582227</v>
      </c>
      <c r="X20" s="39">
        <f t="shared" si="7"/>
        <v>25.8215632142765</v>
      </c>
      <c r="Y20" s="43"/>
      <c r="Z20" s="43">
        <v>0.510287844953833</v>
      </c>
      <c r="AA20" s="39"/>
      <c r="AB20" s="39"/>
      <c r="AC20" s="39"/>
      <c r="AD20" s="39"/>
      <c r="AE20" s="39"/>
      <c r="AF20" s="39"/>
      <c r="AG20" s="43"/>
      <c r="AH20" s="43"/>
    </row>
    <row r="21" spans="1:34">
      <c r="A21" s="35" t="s">
        <v>21</v>
      </c>
      <c r="B21" s="39"/>
      <c r="C21" s="39"/>
      <c r="D21" s="36" t="s">
        <v>71</v>
      </c>
      <c r="E21" s="36" t="s">
        <v>14</v>
      </c>
      <c r="F21" s="36">
        <v>0.0916552055821519</v>
      </c>
      <c r="G21" s="36">
        <f t="shared" ref="G21:K21" si="43">ABS(F21)</f>
        <v>0.0916552055821519</v>
      </c>
      <c r="H21" s="39">
        <v>-0.0442965082251991</v>
      </c>
      <c r="I21" s="36">
        <f t="shared" si="43"/>
        <v>0.0442965082251991</v>
      </c>
      <c r="J21" s="36">
        <v>0.100684601555796</v>
      </c>
      <c r="K21" s="36">
        <f t="shared" si="43"/>
        <v>0.100684601555796</v>
      </c>
      <c r="L21" s="39">
        <v>-0.0665985325816128</v>
      </c>
      <c r="M21" s="36">
        <f t="shared" ref="M21:Q21" si="44">ABS(L21)</f>
        <v>0.0665985325816128</v>
      </c>
      <c r="N21" s="39">
        <v>-0.244421853759923</v>
      </c>
      <c r="O21" s="36">
        <f t="shared" si="44"/>
        <v>0.244421853759923</v>
      </c>
      <c r="P21" s="39">
        <v>-0.0526653061701359</v>
      </c>
      <c r="Q21" s="36">
        <f t="shared" si="44"/>
        <v>0.0526653061701359</v>
      </c>
      <c r="R21" s="39">
        <v>1.00445218528847</v>
      </c>
      <c r="S21" s="39">
        <f t="shared" si="2"/>
        <v>9.12489483566899</v>
      </c>
      <c r="T21" s="39">
        <f t="shared" si="3"/>
        <v>4.41001661144055</v>
      </c>
      <c r="U21" s="39">
        <f t="shared" si="4"/>
        <v>10.0238321973365</v>
      </c>
      <c r="V21" s="39">
        <f t="shared" si="5"/>
        <v>6.63033378363215</v>
      </c>
      <c r="W21" s="39">
        <f t="shared" si="6"/>
        <v>24.333846582227</v>
      </c>
      <c r="X21" s="39">
        <f t="shared" si="7"/>
        <v>5.24318697708949</v>
      </c>
      <c r="Y21" s="43"/>
      <c r="Z21" s="43">
        <v>0.691326819849648</v>
      </c>
      <c r="AA21" s="39"/>
      <c r="AB21" s="39"/>
      <c r="AC21" s="39"/>
      <c r="AD21" s="39"/>
      <c r="AE21" s="39"/>
      <c r="AF21" s="39"/>
      <c r="AG21" s="43"/>
      <c r="AH21" s="43"/>
    </row>
    <row r="22" spans="1:34">
      <c r="A22" s="35" t="s">
        <v>21</v>
      </c>
      <c r="B22" s="35" t="s">
        <v>83</v>
      </c>
      <c r="C22" s="39"/>
      <c r="D22" s="36" t="s">
        <v>71</v>
      </c>
      <c r="E22" s="36" t="s">
        <v>15</v>
      </c>
      <c r="F22" s="36">
        <v>-0.18234908854847</v>
      </c>
      <c r="G22" s="36">
        <f t="shared" ref="G22:K22" si="45">ABS(F22)</f>
        <v>0.18234908854847</v>
      </c>
      <c r="H22" s="39">
        <v>-0.307341174418318</v>
      </c>
      <c r="I22" s="36">
        <f t="shared" si="45"/>
        <v>0.307341174418318</v>
      </c>
      <c r="J22" s="36">
        <v>0.195909591214881</v>
      </c>
      <c r="K22" s="36">
        <f t="shared" si="45"/>
        <v>0.195909591214881</v>
      </c>
      <c r="L22" s="39">
        <v>0.0662669208008633</v>
      </c>
      <c r="M22" s="36">
        <f t="shared" ref="M22:Q22" si="46">ABS(L22)</f>
        <v>0.0662669208008633</v>
      </c>
      <c r="N22" s="39">
        <v>-0.317261058470114</v>
      </c>
      <c r="O22" s="36">
        <f t="shared" si="46"/>
        <v>0.317261058470114</v>
      </c>
      <c r="P22" s="39">
        <v>-0.121891857245508</v>
      </c>
      <c r="Q22" s="36">
        <f t="shared" si="46"/>
        <v>0.121891857245508</v>
      </c>
      <c r="R22" s="39">
        <f>G22+I22+K22+M22+O22+Q22</f>
        <v>1.19101969069815</v>
      </c>
      <c r="S22" s="39">
        <f t="shared" si="2"/>
        <v>15.3103336554898</v>
      </c>
      <c r="T22" s="39">
        <f t="shared" si="3"/>
        <v>25.804877687468</v>
      </c>
      <c r="U22" s="39">
        <f t="shared" si="4"/>
        <v>16.4488960799668</v>
      </c>
      <c r="V22" s="39">
        <f t="shared" si="5"/>
        <v>5.56388121190665</v>
      </c>
      <c r="W22" s="39">
        <f t="shared" si="6"/>
        <v>26.6377677000572</v>
      </c>
      <c r="X22" s="39">
        <f t="shared" si="7"/>
        <v>10.2342436651116</v>
      </c>
      <c r="Y22" s="43"/>
      <c r="Z22" s="43">
        <v>0.724954914411568</v>
      </c>
      <c r="AA22" s="39"/>
      <c r="AB22" s="39"/>
      <c r="AC22" s="39"/>
      <c r="AD22" s="39"/>
      <c r="AE22" s="39"/>
      <c r="AF22" s="39"/>
      <c r="AG22" s="43"/>
      <c r="AH22" s="43"/>
    </row>
    <row r="23" spans="1:34">
      <c r="A23" s="35" t="s">
        <v>22</v>
      </c>
      <c r="B23" s="39"/>
      <c r="C23" s="39"/>
      <c r="D23" s="36" t="s">
        <v>71</v>
      </c>
      <c r="E23" s="36" t="s">
        <v>8</v>
      </c>
      <c r="F23" s="36">
        <v>-0.0711153934823489</v>
      </c>
      <c r="G23" s="36">
        <f t="shared" ref="G23:K23" si="47">ABS(F23)</f>
        <v>0.0711153934823489</v>
      </c>
      <c r="H23" s="39">
        <v>0.0657464913063697</v>
      </c>
      <c r="I23" s="36">
        <f t="shared" si="47"/>
        <v>0.0657464913063697</v>
      </c>
      <c r="J23" s="36">
        <v>0.0151719258183649</v>
      </c>
      <c r="K23" s="36">
        <f t="shared" si="47"/>
        <v>0.0151719258183649</v>
      </c>
      <c r="L23" s="39">
        <v>0.0233134013415404</v>
      </c>
      <c r="M23" s="36">
        <f t="shared" ref="M23:Q23" si="48">ABS(L23)</f>
        <v>0.0233134013415404</v>
      </c>
      <c r="N23" s="39">
        <v>-0.134432019567958</v>
      </c>
      <c r="O23" s="36">
        <f t="shared" si="48"/>
        <v>0.134432019567958</v>
      </c>
      <c r="P23" s="39">
        <v>0.275515086525178</v>
      </c>
      <c r="Q23" s="36">
        <f t="shared" si="48"/>
        <v>0.275515086525178</v>
      </c>
      <c r="R23" s="39">
        <f>G23+I23+K23+M23+O23+Q23+G24+I24+K24+M24</f>
        <v>0.881084586190471</v>
      </c>
      <c r="S23" s="39">
        <f t="shared" si="2"/>
        <v>8.07134690550305</v>
      </c>
      <c r="T23" s="39">
        <f t="shared" si="3"/>
        <v>7.46199540167155</v>
      </c>
      <c r="U23" s="39">
        <f t="shared" si="4"/>
        <v>1.72196019044704</v>
      </c>
      <c r="V23" s="39">
        <f t="shared" si="5"/>
        <v>2.64598901251242</v>
      </c>
      <c r="W23" s="39">
        <f t="shared" si="6"/>
        <v>15.2575611553028</v>
      </c>
      <c r="X23" s="39">
        <f t="shared" si="7"/>
        <v>31.2699927842816</v>
      </c>
      <c r="Y23" s="43"/>
      <c r="Z23" s="43">
        <v>0.38233785436764</v>
      </c>
      <c r="AA23" s="39"/>
      <c r="AB23" s="39"/>
      <c r="AC23" s="39"/>
      <c r="AD23" s="39"/>
      <c r="AE23" s="39"/>
      <c r="AF23" s="39"/>
      <c r="AG23" s="43"/>
      <c r="AH23" s="43"/>
    </row>
    <row r="24" spans="1:34">
      <c r="A24" s="35" t="s">
        <v>22</v>
      </c>
      <c r="B24" s="39"/>
      <c r="C24" s="39"/>
      <c r="D24" s="36" t="s">
        <v>71</v>
      </c>
      <c r="E24" s="36" t="s">
        <v>14</v>
      </c>
      <c r="F24" s="36">
        <v>0.0916552055821519</v>
      </c>
      <c r="G24" s="36">
        <f t="shared" ref="G24:K24" si="49">ABS(F24)</f>
        <v>0.0916552055821519</v>
      </c>
      <c r="H24" s="39">
        <v>-0.0458203886886055</v>
      </c>
      <c r="I24" s="36">
        <f t="shared" si="49"/>
        <v>0.0458203886886055</v>
      </c>
      <c r="J24" s="36">
        <v>0.112671981779293</v>
      </c>
      <c r="K24" s="36">
        <f t="shared" si="49"/>
        <v>0.112671981779293</v>
      </c>
      <c r="L24" s="39">
        <v>-0.0456426920986603</v>
      </c>
      <c r="M24" s="36">
        <f t="shared" ref="M24:Q24" si="50">ABS(L24)</f>
        <v>0.0456426920986603</v>
      </c>
      <c r="N24" s="39">
        <v>-0.134432019567958</v>
      </c>
      <c r="O24" s="36">
        <f t="shared" si="50"/>
        <v>0.134432019567958</v>
      </c>
      <c r="P24" s="39">
        <v>0.0540696302597862</v>
      </c>
      <c r="Q24" s="36">
        <f t="shared" si="50"/>
        <v>0.0540696302597862</v>
      </c>
      <c r="R24" s="39">
        <v>0.88108458619047</v>
      </c>
      <c r="S24" s="39">
        <f t="shared" si="2"/>
        <v>10.4025432993261</v>
      </c>
      <c r="T24" s="39">
        <f t="shared" si="3"/>
        <v>5.20045287441905</v>
      </c>
      <c r="U24" s="39">
        <f t="shared" si="4"/>
        <v>12.7878734397626</v>
      </c>
      <c r="V24" s="39">
        <f t="shared" si="5"/>
        <v>5.18028493677376</v>
      </c>
      <c r="W24" s="39">
        <f t="shared" si="6"/>
        <v>15.2575611553028</v>
      </c>
      <c r="X24" s="39">
        <f t="shared" si="7"/>
        <v>6.1367127637048</v>
      </c>
      <c r="Y24" s="43"/>
      <c r="Z24" s="43">
        <v>0.590061292043482</v>
      </c>
      <c r="AA24" s="39"/>
      <c r="AB24" s="39"/>
      <c r="AC24" s="39"/>
      <c r="AD24" s="39"/>
      <c r="AE24" s="39"/>
      <c r="AF24" s="39"/>
      <c r="AG24" s="43"/>
      <c r="AH24" s="43"/>
    </row>
    <row r="25" spans="1:34">
      <c r="A25" s="35" t="s">
        <v>22</v>
      </c>
      <c r="B25" s="35" t="s">
        <v>82</v>
      </c>
      <c r="C25" s="39"/>
      <c r="D25" s="36" t="s">
        <v>71</v>
      </c>
      <c r="E25" s="36" t="s">
        <v>15</v>
      </c>
      <c r="F25" s="36">
        <v>-0.18234908854847</v>
      </c>
      <c r="G25" s="36">
        <f t="shared" ref="G25:K25" si="51">ABS(F25)</f>
        <v>0.18234908854847</v>
      </c>
      <c r="H25" s="39">
        <v>-0.299184985160504</v>
      </c>
      <c r="I25" s="36">
        <f t="shared" si="51"/>
        <v>0.299184985160504</v>
      </c>
      <c r="J25" s="36">
        <v>0.178103056731808</v>
      </c>
      <c r="K25" s="36">
        <f t="shared" si="51"/>
        <v>0.178103056731808</v>
      </c>
      <c r="L25" s="39">
        <v>0.0886401227239527</v>
      </c>
      <c r="M25" s="36">
        <f t="shared" ref="M25:Q25" si="52">ABS(L25)</f>
        <v>0.0886401227239527</v>
      </c>
      <c r="N25" s="39">
        <v>-0.174493582158563</v>
      </c>
      <c r="O25" s="36">
        <f t="shared" si="52"/>
        <v>0.174493582158563</v>
      </c>
      <c r="P25" s="39">
        <v>0.541916055359144</v>
      </c>
      <c r="Q25" s="36">
        <f t="shared" si="52"/>
        <v>0.541916055359144</v>
      </c>
      <c r="R25" s="39">
        <f>G25+I25+K25+M25+O25+Q25</f>
        <v>1.46468689068244</v>
      </c>
      <c r="S25" s="39">
        <f t="shared" si="2"/>
        <v>12.4496975912379</v>
      </c>
      <c r="T25" s="39">
        <f t="shared" si="3"/>
        <v>20.4265489821585</v>
      </c>
      <c r="U25" s="39">
        <f t="shared" si="4"/>
        <v>12.1598041099982</v>
      </c>
      <c r="V25" s="39">
        <f t="shared" si="5"/>
        <v>6.05181375540629</v>
      </c>
      <c r="W25" s="39">
        <f t="shared" si="6"/>
        <v>11.9133709237516</v>
      </c>
      <c r="X25" s="39">
        <f t="shared" si="7"/>
        <v>36.9987646374475</v>
      </c>
      <c r="Y25" s="43"/>
      <c r="Z25" s="43">
        <v>0.45712144043108</v>
      </c>
      <c r="AA25" s="39"/>
      <c r="AB25" s="39"/>
      <c r="AC25" s="39"/>
      <c r="AD25" s="39"/>
      <c r="AE25" s="39"/>
      <c r="AF25" s="39"/>
      <c r="AG25" s="43"/>
      <c r="AH25" s="43"/>
    </row>
    <row r="26" spans="1:34">
      <c r="A26" s="35" t="s">
        <v>23</v>
      </c>
      <c r="B26" s="39"/>
      <c r="C26" s="39"/>
      <c r="D26" s="36" t="s">
        <v>71</v>
      </c>
      <c r="E26" s="36" t="s">
        <v>8</v>
      </c>
      <c r="F26" s="36">
        <v>-0.202549576485005</v>
      </c>
      <c r="G26" s="36">
        <f t="shared" ref="G26:K26" si="53">ABS(F26)</f>
        <v>0.202549576485005</v>
      </c>
      <c r="H26" s="39">
        <v>0.0410011216643909</v>
      </c>
      <c r="I26" s="36">
        <f t="shared" si="53"/>
        <v>0.0410011216643909</v>
      </c>
      <c r="J26" s="36">
        <v>-0.889173258380353</v>
      </c>
      <c r="K26" s="36">
        <f t="shared" si="53"/>
        <v>0.889173258380353</v>
      </c>
      <c r="L26" s="39">
        <v>0.202599858154534</v>
      </c>
      <c r="M26" s="36">
        <f t="shared" ref="M26:Q26" si="54">ABS(L26)</f>
        <v>0.202599858154534</v>
      </c>
      <c r="N26" s="39">
        <v>-0.77768082687286</v>
      </c>
      <c r="O26" s="36">
        <f t="shared" si="54"/>
        <v>0.77768082687286</v>
      </c>
      <c r="P26" s="39">
        <v>1.13980921480187</v>
      </c>
      <c r="Q26" s="36">
        <f t="shared" si="54"/>
        <v>1.13980921480187</v>
      </c>
      <c r="R26" s="39">
        <f>G26+I26+K26+M26+O26+Q26+G27+I27+K27+M27</f>
        <v>3.87360247078188</v>
      </c>
      <c r="S26" s="39">
        <f t="shared" si="2"/>
        <v>5.22897168753925</v>
      </c>
      <c r="T26" s="39">
        <f t="shared" si="3"/>
        <v>1.05847520424869</v>
      </c>
      <c r="U26" s="39">
        <f t="shared" si="4"/>
        <v>22.9546853371579</v>
      </c>
      <c r="V26" s="39">
        <f t="shared" si="5"/>
        <v>5.23026974715967</v>
      </c>
      <c r="W26" s="39">
        <f t="shared" si="6"/>
        <v>20.0764232452559</v>
      </c>
      <c r="X26" s="39">
        <f t="shared" si="7"/>
        <v>29.4250435711799</v>
      </c>
      <c r="Y26" s="43"/>
      <c r="Z26" s="43">
        <v>0.713322423570862</v>
      </c>
      <c r="AA26" s="39"/>
      <c r="AB26" s="39"/>
      <c r="AC26" s="39"/>
      <c r="AD26" s="39"/>
      <c r="AE26" s="39"/>
      <c r="AF26" s="39"/>
      <c r="AG26" s="43"/>
      <c r="AH26" s="43"/>
    </row>
    <row r="27" spans="1:34">
      <c r="A27" s="35" t="s">
        <v>23</v>
      </c>
      <c r="B27" s="39"/>
      <c r="C27" s="39"/>
      <c r="D27" s="36" t="s">
        <v>71</v>
      </c>
      <c r="E27" s="36" t="s">
        <v>14</v>
      </c>
      <c r="F27" s="36">
        <v>0.204687224933036</v>
      </c>
      <c r="G27" s="36">
        <f t="shared" ref="G27:K27" si="55">ABS(F27)</f>
        <v>0.204687224933036</v>
      </c>
      <c r="H27" s="39">
        <v>0.0384214222559939</v>
      </c>
      <c r="I27" s="36">
        <f t="shared" si="55"/>
        <v>0.0384214222559939</v>
      </c>
      <c r="J27" s="36">
        <v>-0.156793009232553</v>
      </c>
      <c r="K27" s="36">
        <f t="shared" si="55"/>
        <v>0.156793009232553</v>
      </c>
      <c r="L27" s="39">
        <v>-0.220886958001281</v>
      </c>
      <c r="M27" s="36">
        <f t="shared" ref="M27:Q27" si="56">ABS(L27)</f>
        <v>0.220886958001281</v>
      </c>
      <c r="N27" s="39">
        <v>-0.77768082687286</v>
      </c>
      <c r="O27" s="36">
        <f t="shared" si="56"/>
        <v>0.77768082687286</v>
      </c>
      <c r="P27" s="39">
        <v>0.293749362668788</v>
      </c>
      <c r="Q27" s="36">
        <f t="shared" si="56"/>
        <v>0.293749362668788</v>
      </c>
      <c r="R27" s="39">
        <v>3.87360247078187</v>
      </c>
      <c r="S27" s="39">
        <f t="shared" si="2"/>
        <v>5.2841567114067</v>
      </c>
      <c r="T27" s="39">
        <f t="shared" si="3"/>
        <v>0.991878297935893</v>
      </c>
      <c r="U27" s="39">
        <f t="shared" si="4"/>
        <v>4.0477310311325</v>
      </c>
      <c r="V27" s="39">
        <f t="shared" si="5"/>
        <v>5.70236516698359</v>
      </c>
      <c r="W27" s="39">
        <f t="shared" si="6"/>
        <v>20.0764232452559</v>
      </c>
      <c r="X27" s="39">
        <f t="shared" si="7"/>
        <v>7.58336367462859</v>
      </c>
      <c r="Y27" s="43"/>
      <c r="Z27" s="43">
        <v>0.629586990351415</v>
      </c>
      <c r="AA27" s="39"/>
      <c r="AB27" s="39"/>
      <c r="AC27" s="39"/>
      <c r="AD27" s="39"/>
      <c r="AE27" s="39"/>
      <c r="AF27" s="39"/>
      <c r="AG27" s="43"/>
      <c r="AH27" s="43"/>
    </row>
    <row r="28" spans="1:34">
      <c r="A28" s="35" t="s">
        <v>23</v>
      </c>
      <c r="B28" s="35" t="s">
        <v>82</v>
      </c>
      <c r="C28" s="39"/>
      <c r="D28" s="36" t="s">
        <v>71</v>
      </c>
      <c r="E28" s="36" t="s">
        <v>15</v>
      </c>
      <c r="F28" s="36">
        <v>0.0604653226266259</v>
      </c>
      <c r="G28" s="36">
        <f t="shared" ref="G28:K28" si="57">ABS(F28)</f>
        <v>0.0604653226266259</v>
      </c>
      <c r="H28" s="39">
        <v>-0.00180846547373008</v>
      </c>
      <c r="I28" s="36">
        <f t="shared" si="57"/>
        <v>0.00180846547373008</v>
      </c>
      <c r="J28" s="36">
        <v>-0.466746819954953</v>
      </c>
      <c r="K28" s="36">
        <f t="shared" si="57"/>
        <v>0.466746819954953</v>
      </c>
      <c r="L28" s="39">
        <v>-0.0386585135741557</v>
      </c>
      <c r="M28" s="36">
        <f t="shared" ref="M28:Q28" si="58">ABS(L28)</f>
        <v>0.0386585135741557</v>
      </c>
      <c r="N28" s="39">
        <v>-1.01252229640553</v>
      </c>
      <c r="O28" s="36">
        <f t="shared" si="58"/>
        <v>1.01252229640553</v>
      </c>
      <c r="P28" s="39">
        <v>0.0610251587466567</v>
      </c>
      <c r="Q28" s="36">
        <f t="shared" si="58"/>
        <v>0.0610251587466567</v>
      </c>
      <c r="R28" s="39">
        <f>G28+I28+K28+M28+O28+Q28</f>
        <v>1.64122657678165</v>
      </c>
      <c r="S28" s="39">
        <f t="shared" si="2"/>
        <v>3.68415449042964</v>
      </c>
      <c r="T28" s="39">
        <f t="shared" si="3"/>
        <v>0.11018987258154</v>
      </c>
      <c r="U28" s="39">
        <f t="shared" si="4"/>
        <v>28.438902133197</v>
      </c>
      <c r="V28" s="39">
        <f t="shared" si="5"/>
        <v>2.35546475551004</v>
      </c>
      <c r="W28" s="39">
        <f t="shared" si="6"/>
        <v>61.6930234209969</v>
      </c>
      <c r="X28" s="39">
        <f t="shared" si="7"/>
        <v>3.71826532728488</v>
      </c>
      <c r="Y28" s="43"/>
      <c r="Z28" s="43">
        <v>0.730404770393908</v>
      </c>
      <c r="AA28" s="39"/>
      <c r="AB28" s="39"/>
      <c r="AC28" s="39"/>
      <c r="AD28" s="39"/>
      <c r="AE28" s="39"/>
      <c r="AF28" s="39"/>
      <c r="AG28" s="43"/>
      <c r="AH28" s="43"/>
    </row>
    <row r="29" spans="1:34">
      <c r="A29" s="35" t="s">
        <v>24</v>
      </c>
      <c r="B29" s="39"/>
      <c r="C29" s="39"/>
      <c r="D29" s="36" t="s">
        <v>71</v>
      </c>
      <c r="E29" s="36" t="s">
        <v>8</v>
      </c>
      <c r="F29" s="36">
        <v>-0.183090692457699</v>
      </c>
      <c r="G29" s="36">
        <f t="shared" ref="G29:K29" si="59">ABS(F29)</f>
        <v>0.183090692457699</v>
      </c>
      <c r="H29" s="39">
        <v>-0.443821770208779</v>
      </c>
      <c r="I29" s="36">
        <f t="shared" si="59"/>
        <v>0.443821770208779</v>
      </c>
      <c r="J29" s="36">
        <v>-0.211742133648871</v>
      </c>
      <c r="K29" s="36">
        <f t="shared" si="59"/>
        <v>0.211742133648871</v>
      </c>
      <c r="L29" s="39">
        <v>-0.120518684854991</v>
      </c>
      <c r="M29" s="36">
        <f t="shared" ref="M29:Q29" si="60">ABS(L29)</f>
        <v>0.120518684854991</v>
      </c>
      <c r="N29" s="39">
        <v>0.314981650907016</v>
      </c>
      <c r="O29" s="36">
        <f t="shared" si="60"/>
        <v>0.314981650907016</v>
      </c>
      <c r="P29" s="39">
        <v>-0.176905742170386</v>
      </c>
      <c r="Q29" s="36">
        <f t="shared" si="60"/>
        <v>0.176905742170386</v>
      </c>
      <c r="R29" s="39">
        <f>G29+I29+K29+M29+O29+Q29+G30+I30+K30+M30</f>
        <v>2.90361647826586</v>
      </c>
      <c r="S29" s="39">
        <f t="shared" si="2"/>
        <v>6.30560867208768</v>
      </c>
      <c r="T29" s="39">
        <f t="shared" si="3"/>
        <v>15.2851374667031</v>
      </c>
      <c r="U29" s="39">
        <f t="shared" si="4"/>
        <v>7.29235886467109</v>
      </c>
      <c r="V29" s="39">
        <f t="shared" si="5"/>
        <v>4.15064061514656</v>
      </c>
      <c r="W29" s="39">
        <f t="shared" si="6"/>
        <v>10.8479082297788</v>
      </c>
      <c r="X29" s="39">
        <f t="shared" si="7"/>
        <v>6.09260015895902</v>
      </c>
      <c r="Y29" s="36"/>
      <c r="Z29" s="43">
        <v>0.16382144007037</v>
      </c>
      <c r="AA29" s="39"/>
      <c r="AB29" s="39"/>
      <c r="AC29" s="39"/>
      <c r="AD29" s="39"/>
      <c r="AE29" s="39"/>
      <c r="AF29" s="39"/>
      <c r="AG29" s="43"/>
      <c r="AH29" s="43"/>
    </row>
    <row r="30" spans="1:34">
      <c r="A30" s="35" t="s">
        <v>24</v>
      </c>
      <c r="B30" s="39"/>
      <c r="C30" s="39"/>
      <c r="D30" s="36" t="s">
        <v>71</v>
      </c>
      <c r="E30" s="36" t="s">
        <v>14</v>
      </c>
      <c r="F30" s="36">
        <v>0.942272093062227</v>
      </c>
      <c r="G30" s="36">
        <f t="shared" ref="G30:K30" si="61">ABS(F30)</f>
        <v>0.942272093062227</v>
      </c>
      <c r="H30" s="39">
        <v>-0.378565441461769</v>
      </c>
      <c r="I30" s="36">
        <f t="shared" si="61"/>
        <v>0.378565441461769</v>
      </c>
      <c r="J30" s="36">
        <v>0.0507999334464423</v>
      </c>
      <c r="K30" s="36">
        <f t="shared" si="61"/>
        <v>0.0507999334464423</v>
      </c>
      <c r="L30" s="39">
        <v>-0.080918336047679</v>
      </c>
      <c r="M30" s="36">
        <f t="shared" ref="M30:Q30" si="62">ABS(L30)</f>
        <v>0.080918336047679</v>
      </c>
      <c r="N30" s="39">
        <v>0.314981650907016</v>
      </c>
      <c r="O30" s="36">
        <f t="shared" si="62"/>
        <v>0.314981650907016</v>
      </c>
      <c r="P30" s="39">
        <v>-0.0204900239751046</v>
      </c>
      <c r="Q30" s="36">
        <f t="shared" si="62"/>
        <v>0.0204900239751046</v>
      </c>
      <c r="R30" s="39">
        <v>2.90361647826586</v>
      </c>
      <c r="S30" s="39">
        <f t="shared" si="2"/>
        <v>32.4516719103683</v>
      </c>
      <c r="T30" s="39">
        <f t="shared" si="3"/>
        <v>13.0377218994108</v>
      </c>
      <c r="U30" s="39">
        <f t="shared" si="4"/>
        <v>1.74954005898127</v>
      </c>
      <c r="V30" s="39">
        <f t="shared" si="5"/>
        <v>2.78681212389338</v>
      </c>
      <c r="W30" s="39">
        <f t="shared" si="6"/>
        <v>10.8479082297788</v>
      </c>
      <c r="X30" s="39">
        <f t="shared" si="7"/>
        <v>0.705672533837594</v>
      </c>
      <c r="Y30" s="43"/>
      <c r="Z30" s="43">
        <v>0.308456141450081</v>
      </c>
      <c r="AA30" s="39"/>
      <c r="AB30" s="39"/>
      <c r="AC30" s="39"/>
      <c r="AD30" s="39"/>
      <c r="AE30" s="39"/>
      <c r="AF30" s="39"/>
      <c r="AG30" s="44"/>
      <c r="AH30" s="43"/>
    </row>
    <row r="31" spans="1:34">
      <c r="A31" s="35" t="s">
        <v>24</v>
      </c>
      <c r="B31" s="35" t="s">
        <v>82</v>
      </c>
      <c r="C31" s="39"/>
      <c r="D31" s="36" t="s">
        <v>71</v>
      </c>
      <c r="E31" s="36" t="s">
        <v>15</v>
      </c>
      <c r="F31" s="36">
        <v>0.158293371387275</v>
      </c>
      <c r="G31" s="36">
        <f t="shared" ref="G31:K31" si="63">ABS(F31)</f>
        <v>0.158293371387275</v>
      </c>
      <c r="H31" s="39">
        <v>-0.301815994949249</v>
      </c>
      <c r="I31" s="36">
        <f t="shared" si="63"/>
        <v>0.301815994949249</v>
      </c>
      <c r="J31" s="36">
        <v>-0.00121101608806614</v>
      </c>
      <c r="K31" s="36">
        <f t="shared" si="63"/>
        <v>0.00121101608806614</v>
      </c>
      <c r="L31" s="39">
        <v>-0.0157705024918376</v>
      </c>
      <c r="M31" s="36">
        <f t="shared" ref="M31:Q31" si="64">ABS(L31)</f>
        <v>0.0157705024918376</v>
      </c>
      <c r="N31" s="39">
        <v>0.0617571238147173</v>
      </c>
      <c r="O31" s="36">
        <f t="shared" si="64"/>
        <v>0.0617571238147173</v>
      </c>
      <c r="P31" s="39">
        <v>0.126219545799687</v>
      </c>
      <c r="Q31" s="36">
        <f t="shared" si="64"/>
        <v>0.126219545799687</v>
      </c>
      <c r="R31" s="39">
        <f>G31+I31+K31+M31+O31+Q31</f>
        <v>0.665067554530832</v>
      </c>
      <c r="S31" s="39">
        <f t="shared" si="2"/>
        <v>23.8010966418204</v>
      </c>
      <c r="T31" s="39">
        <f t="shared" si="3"/>
        <v>45.3812538129549</v>
      </c>
      <c r="U31" s="39">
        <f t="shared" si="4"/>
        <v>0.182089184747622</v>
      </c>
      <c r="V31" s="39">
        <f t="shared" si="5"/>
        <v>2.37126324753022</v>
      </c>
      <c r="W31" s="39">
        <f t="shared" si="6"/>
        <v>9.28584222670184</v>
      </c>
      <c r="X31" s="39">
        <f t="shared" si="7"/>
        <v>18.978454886245</v>
      </c>
      <c r="Y31" s="43"/>
      <c r="Z31" s="43">
        <v>0.486751192737762</v>
      </c>
      <c r="AA31" s="39"/>
      <c r="AB31" s="39"/>
      <c r="AC31" s="39"/>
      <c r="AD31" s="39"/>
      <c r="AE31" s="39"/>
      <c r="AF31" s="39"/>
      <c r="AG31" s="44"/>
      <c r="AH31" s="43"/>
    </row>
    <row r="32" spans="1:34">
      <c r="A32" s="35" t="s">
        <v>25</v>
      </c>
      <c r="B32" s="39"/>
      <c r="C32" s="39"/>
      <c r="D32" s="36" t="s">
        <v>71</v>
      </c>
      <c r="E32" s="36" t="s">
        <v>8</v>
      </c>
      <c r="F32" s="36">
        <v>-0.149174054542359</v>
      </c>
      <c r="G32" s="36">
        <f t="shared" ref="G32:K32" si="65">ABS(F32)</f>
        <v>0.149174054542359</v>
      </c>
      <c r="H32" s="39">
        <v>-0.999300486021578</v>
      </c>
      <c r="I32" s="36">
        <f t="shared" si="65"/>
        <v>0.999300486021578</v>
      </c>
      <c r="J32" s="36">
        <v>0.155000725646389</v>
      </c>
      <c r="K32" s="36">
        <f t="shared" si="65"/>
        <v>0.155000725646389</v>
      </c>
      <c r="L32" s="39">
        <v>0.501103547187565</v>
      </c>
      <c r="M32" s="36">
        <f t="shared" ref="M32:Q32" si="66">ABS(L32)</f>
        <v>0.501103547187565</v>
      </c>
      <c r="N32" s="39">
        <v>-0.446860852190182</v>
      </c>
      <c r="O32" s="36">
        <f t="shared" si="66"/>
        <v>0.446860852190182</v>
      </c>
      <c r="P32" s="39">
        <v>0.637061121235388</v>
      </c>
      <c r="Q32" s="36">
        <f t="shared" si="66"/>
        <v>0.637061121235388</v>
      </c>
      <c r="R32" s="39">
        <f>G32+I32+K32+M32+O32+Q32+G33+I33+K33+M33</f>
        <v>3.43750259794866</v>
      </c>
      <c r="S32" s="39">
        <f t="shared" si="2"/>
        <v>4.3396055796839</v>
      </c>
      <c r="T32" s="39">
        <f t="shared" si="3"/>
        <v>29.0705376228054</v>
      </c>
      <c r="U32" s="39">
        <f t="shared" si="4"/>
        <v>4.50910861096909</v>
      </c>
      <c r="V32" s="39">
        <f t="shared" si="5"/>
        <v>14.5775467191385</v>
      </c>
      <c r="W32" s="39">
        <f t="shared" si="6"/>
        <v>12.9995786026998</v>
      </c>
      <c r="X32" s="39">
        <f t="shared" si="7"/>
        <v>18.5326731568307</v>
      </c>
      <c r="Y32" s="43"/>
      <c r="Z32" s="43">
        <v>0.625740501459575</v>
      </c>
      <c r="AA32" s="39"/>
      <c r="AB32" s="39"/>
      <c r="AC32" s="39"/>
      <c r="AD32" s="39"/>
      <c r="AE32" s="39"/>
      <c r="AF32" s="39"/>
      <c r="AG32" s="44"/>
      <c r="AH32" s="43"/>
    </row>
    <row r="33" spans="1:34">
      <c r="A33" s="35" t="s">
        <v>25</v>
      </c>
      <c r="B33" s="39"/>
      <c r="C33" s="39"/>
      <c r="D33" s="36" t="s">
        <v>71</v>
      </c>
      <c r="E33" s="36" t="s">
        <v>14</v>
      </c>
      <c r="F33" s="36">
        <v>0.173741605725352</v>
      </c>
      <c r="G33" s="36">
        <f t="shared" ref="G33:K33" si="67">ABS(F33)</f>
        <v>0.173741605725352</v>
      </c>
      <c r="H33" s="39">
        <v>-0.111772143499069</v>
      </c>
      <c r="I33" s="36">
        <f t="shared" si="67"/>
        <v>0.111772143499069</v>
      </c>
      <c r="J33" s="36">
        <v>-0.13913194697083</v>
      </c>
      <c r="K33" s="36">
        <f t="shared" si="67"/>
        <v>0.13913194697083</v>
      </c>
      <c r="L33" s="39">
        <v>-0.124356114929946</v>
      </c>
      <c r="M33" s="36">
        <f t="shared" ref="M33:Q33" si="68">ABS(L33)</f>
        <v>0.124356114929946</v>
      </c>
      <c r="N33" s="39">
        <v>-0.446860852190182</v>
      </c>
      <c r="O33" s="36">
        <f t="shared" si="68"/>
        <v>0.446860852190182</v>
      </c>
      <c r="P33" s="39">
        <v>0.149409029778193</v>
      </c>
      <c r="Q33" s="36">
        <f t="shared" si="68"/>
        <v>0.149409029778193</v>
      </c>
      <c r="R33" s="39">
        <v>3.43750259794866</v>
      </c>
      <c r="S33" s="39">
        <f t="shared" si="2"/>
        <v>5.05429743759417</v>
      </c>
      <c r="T33" s="39">
        <f t="shared" si="3"/>
        <v>3.25155080801304</v>
      </c>
      <c r="U33" s="39">
        <f t="shared" si="4"/>
        <v>4.04747176202448</v>
      </c>
      <c r="V33" s="39">
        <f t="shared" si="5"/>
        <v>3.61762970024098</v>
      </c>
      <c r="W33" s="39">
        <f t="shared" si="6"/>
        <v>12.9995786026997</v>
      </c>
      <c r="X33" s="39">
        <f t="shared" si="7"/>
        <v>4.34644121774201</v>
      </c>
      <c r="Y33" s="43"/>
      <c r="Z33" s="43">
        <v>0.871919833949198</v>
      </c>
      <c r="AA33" s="39"/>
      <c r="AB33" s="39"/>
      <c r="AC33" s="39"/>
      <c r="AD33" s="39"/>
      <c r="AE33" s="39"/>
      <c r="AF33" s="39"/>
      <c r="AG33" s="43"/>
      <c r="AH33" s="43"/>
    </row>
    <row r="34" spans="1:34">
      <c r="A34" s="35" t="s">
        <v>25</v>
      </c>
      <c r="B34" s="35" t="s">
        <v>82</v>
      </c>
      <c r="C34" s="39"/>
      <c r="D34" s="36" t="s">
        <v>71</v>
      </c>
      <c r="E34" s="36" t="s">
        <v>15</v>
      </c>
      <c r="F34" s="36">
        <v>0.224998788601825</v>
      </c>
      <c r="G34" s="36">
        <f t="shared" ref="G34:K34" si="69">ABS(F34)</f>
        <v>0.224998788601825</v>
      </c>
      <c r="H34" s="39">
        <v>-0.622679378566457</v>
      </c>
      <c r="I34" s="36">
        <f t="shared" si="69"/>
        <v>0.622679378566457</v>
      </c>
      <c r="J34" s="36">
        <v>-0.000394274833323443</v>
      </c>
      <c r="K34" s="36">
        <f t="shared" si="69"/>
        <v>0.000394274833323443</v>
      </c>
      <c r="L34" s="39">
        <v>-0.258324958521426</v>
      </c>
      <c r="M34" s="36">
        <f t="shared" ref="M34:Q34" si="70">ABS(L34)</f>
        <v>0.258324958521426</v>
      </c>
      <c r="N34" s="39">
        <v>-0.351910946914401</v>
      </c>
      <c r="O34" s="36">
        <f t="shared" si="70"/>
        <v>0.351910946914401</v>
      </c>
      <c r="P34" s="39">
        <v>0.0577613196843331</v>
      </c>
      <c r="Q34" s="36">
        <f t="shared" si="70"/>
        <v>0.0577613196843331</v>
      </c>
      <c r="R34" s="39">
        <f>G34+I34+K34+M34+O34+Q34</f>
        <v>1.51606966712177</v>
      </c>
      <c r="S34" s="39">
        <f t="shared" si="2"/>
        <v>14.8409267384778</v>
      </c>
      <c r="T34" s="39">
        <f t="shared" si="3"/>
        <v>41.0719501926718</v>
      </c>
      <c r="U34" s="39">
        <f t="shared" si="4"/>
        <v>0.0260063796455982</v>
      </c>
      <c r="V34" s="39">
        <f t="shared" si="5"/>
        <v>17.0391218902131</v>
      </c>
      <c r="W34" s="39">
        <f t="shared" si="6"/>
        <v>23.2120564474124</v>
      </c>
      <c r="X34" s="39">
        <f t="shared" si="7"/>
        <v>3.80993835157932</v>
      </c>
      <c r="Y34" s="43"/>
      <c r="Z34" s="43">
        <v>0.771731207548262</v>
      </c>
      <c r="AA34" s="39"/>
      <c r="AB34" s="39"/>
      <c r="AC34" s="39"/>
      <c r="AD34" s="39"/>
      <c r="AE34" s="39"/>
      <c r="AF34" s="39"/>
      <c r="AG34" s="43"/>
      <c r="AH34" s="43"/>
    </row>
    <row r="35" spans="1:34">
      <c r="A35" s="35" t="s">
        <v>26</v>
      </c>
      <c r="B35" s="39"/>
      <c r="C35" s="39"/>
      <c r="D35" s="36" t="s">
        <v>71</v>
      </c>
      <c r="E35" s="36" t="s">
        <v>8</v>
      </c>
      <c r="F35" s="36">
        <v>-0.113983122458076</v>
      </c>
      <c r="G35" s="36">
        <f t="shared" ref="G35:K35" si="71">ABS(F35)</f>
        <v>0.113983122458076</v>
      </c>
      <c r="H35" s="39">
        <v>-0.385818650335231</v>
      </c>
      <c r="I35" s="36">
        <f t="shared" si="71"/>
        <v>0.385818650335231</v>
      </c>
      <c r="J35" s="36">
        <v>-0.0387819644502944</v>
      </c>
      <c r="K35" s="36">
        <f t="shared" si="71"/>
        <v>0.0387819644502944</v>
      </c>
      <c r="L35" s="39">
        <v>0.389836856126066</v>
      </c>
      <c r="M35" s="36">
        <f t="shared" ref="M35:Q35" si="72">ABS(L35)</f>
        <v>0.389836856126066</v>
      </c>
      <c r="N35" s="39">
        <v>0.635079857830947</v>
      </c>
      <c r="O35" s="36">
        <f t="shared" si="72"/>
        <v>0.635079857830947</v>
      </c>
      <c r="P35" s="39">
        <v>-0.612099206090198</v>
      </c>
      <c r="Q35" s="36">
        <f t="shared" si="72"/>
        <v>0.612099206090198</v>
      </c>
      <c r="R35" s="39">
        <f>G35+I35+K35+M35+O35+Q35+G36+I36+K36+M36</f>
        <v>2.93930802749434</v>
      </c>
      <c r="S35" s="39">
        <f t="shared" si="2"/>
        <v>3.87788967307529</v>
      </c>
      <c r="T35" s="39">
        <f t="shared" si="3"/>
        <v>13.1261727837395</v>
      </c>
      <c r="U35" s="39">
        <f t="shared" si="4"/>
        <v>1.3194249832793</v>
      </c>
      <c r="V35" s="39">
        <f t="shared" si="5"/>
        <v>13.2628786258373</v>
      </c>
      <c r="W35" s="39">
        <f t="shared" si="6"/>
        <v>21.6064411041782</v>
      </c>
      <c r="X35" s="39">
        <f t="shared" si="7"/>
        <v>20.8246022657242</v>
      </c>
      <c r="Y35" s="43"/>
      <c r="Z35" s="43">
        <v>0.503395504035521</v>
      </c>
      <c r="AA35" s="39"/>
      <c r="AB35" s="39"/>
      <c r="AC35" s="39"/>
      <c r="AD35" s="39"/>
      <c r="AE35" s="39"/>
      <c r="AF35" s="39"/>
      <c r="AG35" s="43"/>
      <c r="AH35" s="43"/>
    </row>
    <row r="36" spans="1:34">
      <c r="A36" s="35" t="s">
        <v>26</v>
      </c>
      <c r="B36" s="39"/>
      <c r="C36" s="39"/>
      <c r="D36" s="36" t="s">
        <v>71</v>
      </c>
      <c r="E36" s="36" t="s">
        <v>14</v>
      </c>
      <c r="F36" s="36">
        <v>-0.10399012689719</v>
      </c>
      <c r="G36" s="36">
        <f t="shared" ref="G36:K36" si="73">ABS(F36)</f>
        <v>0.10399012689719</v>
      </c>
      <c r="H36" s="39">
        <v>-0.477575817486597</v>
      </c>
      <c r="I36" s="36">
        <f t="shared" si="73"/>
        <v>0.477575817486597</v>
      </c>
      <c r="J36" s="36">
        <v>0.027399480915851</v>
      </c>
      <c r="K36" s="36">
        <f t="shared" si="73"/>
        <v>0.027399480915851</v>
      </c>
      <c r="L36" s="39">
        <v>0.154742944903885</v>
      </c>
      <c r="M36" s="36">
        <f t="shared" ref="M36:Q36" si="74">ABS(L36)</f>
        <v>0.154742944903885</v>
      </c>
      <c r="N36" s="39">
        <v>0.635079857830947</v>
      </c>
      <c r="O36" s="36">
        <f t="shared" si="74"/>
        <v>0.635079857830947</v>
      </c>
      <c r="P36" s="39">
        <v>-0.0145955903847044</v>
      </c>
      <c r="Q36" s="36">
        <f t="shared" si="74"/>
        <v>0.0145955903847044</v>
      </c>
      <c r="R36" s="39">
        <v>2.93930802749433</v>
      </c>
      <c r="S36" s="39">
        <f t="shared" si="2"/>
        <v>3.53791184606938</v>
      </c>
      <c r="T36" s="39">
        <f t="shared" si="3"/>
        <v>16.2478996083209</v>
      </c>
      <c r="U36" s="39">
        <f t="shared" si="4"/>
        <v>0.932174534263026</v>
      </c>
      <c r="V36" s="39">
        <f t="shared" si="5"/>
        <v>5.26460457551292</v>
      </c>
      <c r="W36" s="39">
        <f t="shared" si="6"/>
        <v>21.6064411041783</v>
      </c>
      <c r="X36" s="39">
        <f t="shared" si="7"/>
        <v>0.496565526585749</v>
      </c>
      <c r="Y36" s="43"/>
      <c r="Z36" s="43">
        <v>0.809537088994421</v>
      </c>
      <c r="AA36" s="39"/>
      <c r="AB36" s="39"/>
      <c r="AC36" s="39"/>
      <c r="AD36" s="39"/>
      <c r="AE36" s="39"/>
      <c r="AF36" s="39"/>
      <c r="AG36" s="43"/>
      <c r="AH36" s="43"/>
    </row>
    <row r="37" spans="1:34">
      <c r="A37" s="35" t="s">
        <v>26</v>
      </c>
      <c r="B37" s="35" t="s">
        <v>82</v>
      </c>
      <c r="C37" s="39"/>
      <c r="D37" s="36" t="s">
        <v>71</v>
      </c>
      <c r="E37" s="36" t="s">
        <v>15</v>
      </c>
      <c r="F37" s="36">
        <v>-0.145488407452123</v>
      </c>
      <c r="G37" s="36">
        <f t="shared" ref="G37:K37" si="75">ABS(F37)</f>
        <v>0.145488407452123</v>
      </c>
      <c r="H37" s="39">
        <v>-0.95879157316456</v>
      </c>
      <c r="I37" s="36">
        <f t="shared" si="75"/>
        <v>0.95879157316456</v>
      </c>
      <c r="J37" s="36">
        <v>0.0125650252409187</v>
      </c>
      <c r="K37" s="36">
        <f t="shared" si="75"/>
        <v>0.0125650252409187</v>
      </c>
      <c r="L37" s="39">
        <v>0.436325315830376</v>
      </c>
      <c r="M37" s="36">
        <f t="shared" ref="M37:Q37" si="76">ABS(L37)</f>
        <v>0.436325315830376</v>
      </c>
      <c r="N37" s="39">
        <v>0.629283387291477</v>
      </c>
      <c r="O37" s="36">
        <f t="shared" si="76"/>
        <v>0.629283387291477</v>
      </c>
      <c r="P37" s="39">
        <v>0.135996362144021</v>
      </c>
      <c r="Q37" s="36">
        <f t="shared" si="76"/>
        <v>0.135996362144021</v>
      </c>
      <c r="R37" s="39">
        <f>G37+I37+K37+M37+O37+Q37</f>
        <v>2.31845007112348</v>
      </c>
      <c r="S37" s="39">
        <f t="shared" si="2"/>
        <v>6.27524436537131</v>
      </c>
      <c r="T37" s="39">
        <f t="shared" si="3"/>
        <v>41.3548510320064</v>
      </c>
      <c r="U37" s="39">
        <f t="shared" si="4"/>
        <v>0.541957982939436</v>
      </c>
      <c r="V37" s="39">
        <f t="shared" si="5"/>
        <v>18.819698610932</v>
      </c>
      <c r="W37" s="39">
        <f t="shared" si="6"/>
        <v>27.1424170453038</v>
      </c>
      <c r="X37" s="39">
        <f t="shared" si="7"/>
        <v>5.86583096344705</v>
      </c>
      <c r="Y37" s="43"/>
      <c r="Z37" s="43">
        <v>0.878482227512532</v>
      </c>
      <c r="AA37" s="39"/>
      <c r="AB37" s="39"/>
      <c r="AC37" s="39"/>
      <c r="AD37" s="39"/>
      <c r="AE37" s="39"/>
      <c r="AF37" s="39"/>
      <c r="AG37" s="43"/>
      <c r="AH37" s="43"/>
    </row>
    <row r="38" spans="1:34">
      <c r="A38" s="37" t="s">
        <v>27</v>
      </c>
      <c r="B38" s="39"/>
      <c r="C38" s="39"/>
      <c r="D38" s="40" t="s">
        <v>72</v>
      </c>
      <c r="E38" s="36" t="s">
        <v>8</v>
      </c>
      <c r="F38" s="38">
        <v>0.446219555112883</v>
      </c>
      <c r="G38" s="36">
        <f t="shared" ref="G38:K38" si="77">ABS(F38)</f>
        <v>0.446219555112883</v>
      </c>
      <c r="H38" s="41">
        <v>-2.01045868509935</v>
      </c>
      <c r="I38" s="36">
        <f t="shared" si="77"/>
        <v>2.01045868509935</v>
      </c>
      <c r="J38" s="38">
        <v>-0.0168682717214058</v>
      </c>
      <c r="K38" s="36">
        <f t="shared" si="77"/>
        <v>0.0168682717214058</v>
      </c>
      <c r="L38" s="41">
        <v>2.86731295939194</v>
      </c>
      <c r="M38" s="36">
        <f t="shared" ref="M38:Q38" si="78">ABS(L38)</f>
        <v>2.86731295939194</v>
      </c>
      <c r="N38" s="41">
        <v>-0.0115753498713612</v>
      </c>
      <c r="O38" s="36">
        <f t="shared" si="78"/>
        <v>0.0115753498713612</v>
      </c>
      <c r="P38" s="39">
        <v>-1.32182750922677</v>
      </c>
      <c r="Q38" s="36">
        <f t="shared" si="78"/>
        <v>1.32182750922677</v>
      </c>
      <c r="R38" s="39">
        <f>G38+I38+K38+M38+O38+Q38+G39+I39+K39+M39</f>
        <v>7.86585597504762</v>
      </c>
      <c r="S38" s="39">
        <f t="shared" si="2"/>
        <v>5.6728670920037</v>
      </c>
      <c r="T38" s="39">
        <f t="shared" si="3"/>
        <v>25.559312190269</v>
      </c>
      <c r="U38" s="39">
        <f t="shared" si="4"/>
        <v>0.214449282759766</v>
      </c>
      <c r="V38" s="39">
        <f t="shared" si="5"/>
        <v>36.4526501437065</v>
      </c>
      <c r="W38" s="39">
        <f t="shared" si="6"/>
        <v>0.147159443397908</v>
      </c>
      <c r="X38" s="39">
        <f t="shared" si="7"/>
        <v>16.8046238504738</v>
      </c>
      <c r="Y38" s="43"/>
      <c r="Z38" s="43">
        <v>0.559423798228532</v>
      </c>
      <c r="AA38" s="39"/>
      <c r="AB38" s="39"/>
      <c r="AC38" s="39"/>
      <c r="AD38" s="39"/>
      <c r="AE38" s="39"/>
      <c r="AF38" s="39"/>
      <c r="AG38" s="43"/>
      <c r="AH38" s="43"/>
    </row>
    <row r="39" spans="1:34">
      <c r="A39" s="37" t="s">
        <v>27</v>
      </c>
      <c r="B39" s="39"/>
      <c r="C39" s="39"/>
      <c r="D39" s="40" t="s">
        <v>72</v>
      </c>
      <c r="E39" s="36" t="s">
        <v>14</v>
      </c>
      <c r="F39" s="38">
        <v>0.338372358464579</v>
      </c>
      <c r="G39" s="36">
        <f t="shared" ref="G39:K39" si="79">ABS(F39)</f>
        <v>0.338372358464579</v>
      </c>
      <c r="H39" s="41">
        <v>0.131846560004675</v>
      </c>
      <c r="I39" s="36">
        <f t="shared" si="79"/>
        <v>0.131846560004675</v>
      </c>
      <c r="J39" s="38">
        <v>-0.599743830002573</v>
      </c>
      <c r="K39" s="36">
        <f t="shared" si="79"/>
        <v>0.599743830002573</v>
      </c>
      <c r="L39" s="41">
        <v>0.121630896152084</v>
      </c>
      <c r="M39" s="36">
        <f t="shared" ref="M39:Q39" si="80">ABS(L39)</f>
        <v>0.121630896152084</v>
      </c>
      <c r="N39" s="41">
        <v>-0.0115753498713612</v>
      </c>
      <c r="O39" s="36">
        <f t="shared" si="80"/>
        <v>0.0115753498713612</v>
      </c>
      <c r="P39" s="39">
        <v>0.314126288827847</v>
      </c>
      <c r="Q39" s="36">
        <f t="shared" si="80"/>
        <v>0.314126288827847</v>
      </c>
      <c r="R39" s="39">
        <v>7.86585597504763</v>
      </c>
      <c r="S39" s="39">
        <f t="shared" si="2"/>
        <v>4.30178685622997</v>
      </c>
      <c r="T39" s="39">
        <f t="shared" si="3"/>
        <v>1.67618833122452</v>
      </c>
      <c r="U39" s="39">
        <f t="shared" si="4"/>
        <v>7.62464799641772</v>
      </c>
      <c r="V39" s="39">
        <f t="shared" si="5"/>
        <v>1.54631481351713</v>
      </c>
      <c r="W39" s="39">
        <f t="shared" si="6"/>
        <v>0.147159443397908</v>
      </c>
      <c r="X39" s="39">
        <f t="shared" si="7"/>
        <v>3.99354234077423</v>
      </c>
      <c r="Y39" s="43"/>
      <c r="Z39" s="43">
        <v>0.584683930166391</v>
      </c>
      <c r="AA39" s="39"/>
      <c r="AB39" s="39"/>
      <c r="AC39" s="39"/>
      <c r="AD39" s="39"/>
      <c r="AE39" s="39"/>
      <c r="AF39" s="39"/>
      <c r="AG39" s="43"/>
      <c r="AH39" s="43"/>
    </row>
    <row r="40" spans="1:34">
      <c r="A40" s="37" t="s">
        <v>27</v>
      </c>
      <c r="B40" s="35" t="s">
        <v>84</v>
      </c>
      <c r="C40" s="39"/>
      <c r="D40" s="40" t="s">
        <v>72</v>
      </c>
      <c r="E40" s="36" t="s">
        <v>15</v>
      </c>
      <c r="F40" s="38">
        <v>-0.0222364337150715</v>
      </c>
      <c r="G40" s="36">
        <f t="shared" ref="G40:K40" si="81">ABS(F40)</f>
        <v>0.0222364337150715</v>
      </c>
      <c r="H40" s="41">
        <v>-0.354177196849048</v>
      </c>
      <c r="I40" s="36">
        <f t="shared" si="81"/>
        <v>0.354177196849048</v>
      </c>
      <c r="J40" s="38">
        <v>-0.0472962864025875</v>
      </c>
      <c r="K40" s="36">
        <f t="shared" si="81"/>
        <v>0.0472962864025875</v>
      </c>
      <c r="L40" s="41">
        <v>0.971836410399432</v>
      </c>
      <c r="M40" s="36">
        <f t="shared" ref="M40:Q40" si="82">ABS(L40)</f>
        <v>0.971836410399432</v>
      </c>
      <c r="N40" s="41">
        <v>0.0824443131932294</v>
      </c>
      <c r="O40" s="36">
        <f t="shared" si="82"/>
        <v>0.0824443131932294</v>
      </c>
      <c r="P40" s="39">
        <v>-0.697237473292621</v>
      </c>
      <c r="Q40" s="36">
        <f t="shared" si="82"/>
        <v>0.697237473292621</v>
      </c>
      <c r="R40" s="39">
        <f>G40+I40+K40+M40+O40+Q40</f>
        <v>2.17522811385199</v>
      </c>
      <c r="S40" s="39">
        <f t="shared" si="2"/>
        <v>1.02225755420631</v>
      </c>
      <c r="T40" s="39">
        <f t="shared" si="3"/>
        <v>16.2823013638719</v>
      </c>
      <c r="U40" s="39">
        <f t="shared" si="4"/>
        <v>2.17431386167739</v>
      </c>
      <c r="V40" s="39">
        <f t="shared" si="5"/>
        <v>44.6774480437577</v>
      </c>
      <c r="W40" s="39">
        <f t="shared" si="6"/>
        <v>3.79014562510565</v>
      </c>
      <c r="X40" s="39">
        <f t="shared" si="7"/>
        <v>32.0535335513811</v>
      </c>
      <c r="Y40" s="43"/>
      <c r="Z40" s="43">
        <v>0.259179206666243</v>
      </c>
      <c r="AA40" s="39"/>
      <c r="AB40" s="39"/>
      <c r="AC40" s="39"/>
      <c r="AD40" s="39"/>
      <c r="AE40" s="39"/>
      <c r="AF40" s="39"/>
      <c r="AG40" s="43"/>
      <c r="AH40" s="43"/>
    </row>
    <row r="41" spans="1:34">
      <c r="A41" s="37" t="s">
        <v>28</v>
      </c>
      <c r="B41" s="39"/>
      <c r="C41" s="39"/>
      <c r="D41" s="40" t="s">
        <v>72</v>
      </c>
      <c r="E41" s="36" t="s">
        <v>8</v>
      </c>
      <c r="F41" s="38">
        <v>0.0716621212839533</v>
      </c>
      <c r="G41" s="36">
        <f t="shared" ref="G41:K41" si="83">ABS(F41)</f>
        <v>0.0716621212839533</v>
      </c>
      <c r="H41" s="41">
        <v>0.177646636037678</v>
      </c>
      <c r="I41" s="36">
        <f t="shared" si="83"/>
        <v>0.177646636037678</v>
      </c>
      <c r="J41" s="38">
        <v>0.129139816260391</v>
      </c>
      <c r="K41" s="36">
        <f t="shared" si="83"/>
        <v>0.129139816260391</v>
      </c>
      <c r="L41" s="41">
        <v>1.58632019296912</v>
      </c>
      <c r="M41" s="36">
        <f t="shared" ref="M41:Q41" si="84">ABS(L41)</f>
        <v>1.58632019296912</v>
      </c>
      <c r="N41" s="41">
        <v>-0.0480177410873473</v>
      </c>
      <c r="O41" s="36">
        <f t="shared" si="84"/>
        <v>0.0480177410873473</v>
      </c>
      <c r="P41" s="39">
        <v>-0.137724566764009</v>
      </c>
      <c r="Q41" s="36">
        <f t="shared" si="84"/>
        <v>0.137724566764009</v>
      </c>
      <c r="R41" s="39">
        <f>G41+I41+K41+M41+O41+Q41+G42+I42+K42+M42</f>
        <v>3.1481864586816</v>
      </c>
      <c r="S41" s="39">
        <f t="shared" si="2"/>
        <v>2.27629850469416</v>
      </c>
      <c r="T41" s="39">
        <f t="shared" si="3"/>
        <v>5.64282447590708</v>
      </c>
      <c r="U41" s="39">
        <f t="shared" si="4"/>
        <v>4.1020383625712</v>
      </c>
      <c r="V41" s="39">
        <f t="shared" si="5"/>
        <v>50.3883811771885</v>
      </c>
      <c r="W41" s="39">
        <f t="shared" si="6"/>
        <v>1.52525086164865</v>
      </c>
      <c r="X41" s="39">
        <f t="shared" si="7"/>
        <v>4.37472711898028</v>
      </c>
      <c r="Y41" s="43"/>
      <c r="Z41" s="43">
        <v>0.687750482639495</v>
      </c>
      <c r="AA41" s="39"/>
      <c r="AB41" s="39"/>
      <c r="AC41" s="39"/>
      <c r="AD41" s="39"/>
      <c r="AE41" s="39"/>
      <c r="AF41" s="39"/>
      <c r="AG41" s="43"/>
      <c r="AH41" s="43"/>
    </row>
    <row r="42" spans="1:34">
      <c r="A42" s="37" t="s">
        <v>28</v>
      </c>
      <c r="B42" s="39"/>
      <c r="C42" s="39"/>
      <c r="D42" s="40" t="s">
        <v>72</v>
      </c>
      <c r="E42" s="36" t="s">
        <v>14</v>
      </c>
      <c r="F42" s="38">
        <v>-0.0995730231964868</v>
      </c>
      <c r="G42" s="36">
        <f t="shared" ref="G42:K42" si="85">ABS(F42)</f>
        <v>0.0995730231964868</v>
      </c>
      <c r="H42" s="41">
        <v>-0.343201441964738</v>
      </c>
      <c r="I42" s="36">
        <f t="shared" si="85"/>
        <v>0.343201441964738</v>
      </c>
      <c r="J42" s="38">
        <v>-0.337924914407121</v>
      </c>
      <c r="K42" s="36">
        <f t="shared" si="85"/>
        <v>0.337924914407121</v>
      </c>
      <c r="L42" s="41">
        <v>-0.21697600471076</v>
      </c>
      <c r="M42" s="36">
        <f t="shared" ref="M42:Q42" si="86">ABS(L42)</f>
        <v>0.21697600471076</v>
      </c>
      <c r="N42" s="41">
        <v>-0.0480177410873473</v>
      </c>
      <c r="O42" s="36">
        <f t="shared" si="86"/>
        <v>0.0480177410873473</v>
      </c>
      <c r="P42" s="39">
        <v>0.0675615877614988</v>
      </c>
      <c r="Q42" s="36">
        <f t="shared" si="86"/>
        <v>0.0675615877614988</v>
      </c>
      <c r="R42" s="39">
        <v>3.1481864586816</v>
      </c>
      <c r="S42" s="39">
        <f t="shared" si="2"/>
        <v>3.16286930597453</v>
      </c>
      <c r="T42" s="39">
        <f t="shared" si="3"/>
        <v>10.9015601988347</v>
      </c>
      <c r="U42" s="39">
        <f t="shared" si="4"/>
        <v>10.7339548925141</v>
      </c>
      <c r="V42" s="39">
        <f t="shared" si="5"/>
        <v>6.89209510168675</v>
      </c>
      <c r="W42" s="39">
        <f t="shared" si="6"/>
        <v>1.52525086164865</v>
      </c>
      <c r="X42" s="39">
        <f t="shared" si="7"/>
        <v>2.14604784844263</v>
      </c>
      <c r="Y42" s="43"/>
      <c r="Z42" s="43">
        <v>0.285958920080635</v>
      </c>
      <c r="AA42" s="39"/>
      <c r="AB42" s="39"/>
      <c r="AC42" s="39"/>
      <c r="AD42" s="39"/>
      <c r="AE42" s="39"/>
      <c r="AF42" s="39"/>
      <c r="AG42" s="36"/>
      <c r="AH42" s="43"/>
    </row>
    <row r="43" spans="1:34">
      <c r="A43" s="37" t="s">
        <v>28</v>
      </c>
      <c r="B43" s="35" t="s">
        <v>82</v>
      </c>
      <c r="C43" s="39"/>
      <c r="D43" s="40" t="s">
        <v>72</v>
      </c>
      <c r="E43" s="36" t="s">
        <v>15</v>
      </c>
      <c r="F43" s="38">
        <v>0.0139034692925715</v>
      </c>
      <c r="G43" s="36">
        <f t="shared" ref="G43:K43" si="87">ABS(F43)</f>
        <v>0.0139034692925715</v>
      </c>
      <c r="H43" s="41">
        <v>-0.322867854547192</v>
      </c>
      <c r="I43" s="36">
        <f t="shared" si="87"/>
        <v>0.322867854547192</v>
      </c>
      <c r="J43" s="38">
        <v>-0.282757471868633</v>
      </c>
      <c r="K43" s="36">
        <f t="shared" si="87"/>
        <v>0.282757471868633</v>
      </c>
      <c r="L43" s="41">
        <v>0.799576223321791</v>
      </c>
      <c r="M43" s="36">
        <f t="shared" ref="M43:Q43" si="88">ABS(L43)</f>
        <v>0.799576223321791</v>
      </c>
      <c r="N43" s="41">
        <v>0.235346593931015</v>
      </c>
      <c r="O43" s="36">
        <f t="shared" si="88"/>
        <v>0.235346593931015</v>
      </c>
      <c r="P43" s="39">
        <v>0.29013237320378</v>
      </c>
      <c r="Q43" s="36">
        <f t="shared" si="88"/>
        <v>0.29013237320378</v>
      </c>
      <c r="R43" s="39">
        <f>G43+I43+K43+M43+O43+Q43</f>
        <v>1.94458398616498</v>
      </c>
      <c r="S43" s="39">
        <f t="shared" si="2"/>
        <v>0.714984253263921</v>
      </c>
      <c r="T43" s="39">
        <f t="shared" si="3"/>
        <v>16.6034409850272</v>
      </c>
      <c r="U43" s="39">
        <f t="shared" si="4"/>
        <v>14.5407693306307</v>
      </c>
      <c r="V43" s="39">
        <f t="shared" si="5"/>
        <v>41.1181121006081</v>
      </c>
      <c r="W43" s="39">
        <f t="shared" si="6"/>
        <v>12.1026705766077</v>
      </c>
      <c r="X43" s="39">
        <f t="shared" si="7"/>
        <v>14.9200227538624</v>
      </c>
      <c r="Y43" s="43"/>
      <c r="Z43" s="43">
        <v>0.356000747186866</v>
      </c>
      <c r="AA43" s="39"/>
      <c r="AB43" s="39"/>
      <c r="AC43" s="39"/>
      <c r="AD43" s="39"/>
      <c r="AE43" s="39"/>
      <c r="AF43" s="39"/>
      <c r="AG43" s="43"/>
      <c r="AH43" s="43"/>
    </row>
    <row r="44" spans="1:34">
      <c r="A44" s="37" t="s">
        <v>29</v>
      </c>
      <c r="B44" s="39"/>
      <c r="C44" s="39"/>
      <c r="D44" s="40" t="s">
        <v>72</v>
      </c>
      <c r="E44" s="36" t="s">
        <v>8</v>
      </c>
      <c r="F44" s="38">
        <v>0.00144643983923117</v>
      </c>
      <c r="G44" s="36">
        <f t="shared" ref="G44:K44" si="89">ABS(F44)</f>
        <v>0.00144643983923117</v>
      </c>
      <c r="H44" s="41">
        <v>-0.373834552101061</v>
      </c>
      <c r="I44" s="36">
        <f t="shared" si="89"/>
        <v>0.373834552101061</v>
      </c>
      <c r="J44" s="38">
        <v>0.264374216363827</v>
      </c>
      <c r="K44" s="36">
        <f t="shared" si="89"/>
        <v>0.264374216363827</v>
      </c>
      <c r="L44" s="41">
        <v>0.989540514994232</v>
      </c>
      <c r="M44" s="36">
        <f t="shared" ref="M44:Q44" si="90">ABS(L44)</f>
        <v>0.989540514994232</v>
      </c>
      <c r="N44" s="41">
        <v>0.240528938114233</v>
      </c>
      <c r="O44" s="36">
        <f t="shared" si="90"/>
        <v>0.240528938114233</v>
      </c>
      <c r="P44" s="39">
        <v>-1.29118806799759</v>
      </c>
      <c r="Q44" s="36">
        <f t="shared" si="90"/>
        <v>1.29118806799759</v>
      </c>
      <c r="R44" s="39">
        <f>G44+I44+K44+M44+O44+Q44+G45+I45+K45+M45</f>
        <v>3.49178214772786</v>
      </c>
      <c r="S44" s="39">
        <f t="shared" si="2"/>
        <v>0.0414241146221674</v>
      </c>
      <c r="T44" s="39">
        <f t="shared" si="3"/>
        <v>10.7061247318742</v>
      </c>
      <c r="U44" s="39">
        <f t="shared" si="4"/>
        <v>7.57132619329811</v>
      </c>
      <c r="V44" s="39">
        <f t="shared" si="5"/>
        <v>28.3391252125547</v>
      </c>
      <c r="W44" s="39">
        <f t="shared" si="6"/>
        <v>6.88842911550904</v>
      </c>
      <c r="X44" s="39">
        <f t="shared" si="7"/>
        <v>36.9779102295308</v>
      </c>
      <c r="Y44" s="43"/>
      <c r="Z44" s="43">
        <v>0.792889280021593</v>
      </c>
      <c r="AA44" s="39"/>
      <c r="AB44" s="39"/>
      <c r="AC44" s="39"/>
      <c r="AD44" s="39"/>
      <c r="AE44" s="39"/>
      <c r="AF44" s="39"/>
      <c r="AG44" s="43"/>
      <c r="AH44" s="43"/>
    </row>
    <row r="45" spans="1:34">
      <c r="A45" s="37" t="s">
        <v>29</v>
      </c>
      <c r="B45" s="39"/>
      <c r="C45" s="39"/>
      <c r="D45" s="40" t="s">
        <v>72</v>
      </c>
      <c r="E45" s="36" t="s">
        <v>14</v>
      </c>
      <c r="F45" s="38">
        <v>0.0452054383555322</v>
      </c>
      <c r="G45" s="36">
        <f t="shared" ref="G45:K45" si="91">ABS(F45)</f>
        <v>0.0452054383555322</v>
      </c>
      <c r="H45" s="41">
        <v>0.100652491513503</v>
      </c>
      <c r="I45" s="36">
        <f t="shared" si="91"/>
        <v>0.100652491513503</v>
      </c>
      <c r="J45" s="38">
        <v>0.0717573535050459</v>
      </c>
      <c r="K45" s="36">
        <f t="shared" si="91"/>
        <v>0.0717573535050459</v>
      </c>
      <c r="L45" s="41">
        <v>-0.113254134943607</v>
      </c>
      <c r="M45" s="36">
        <f t="shared" ref="M45:Q45" si="92">ABS(L45)</f>
        <v>0.113254134943607</v>
      </c>
      <c r="N45" s="41">
        <v>0.240528938114233</v>
      </c>
      <c r="O45" s="36">
        <f t="shared" si="92"/>
        <v>0.240528938114233</v>
      </c>
      <c r="P45" s="39">
        <v>-0.107455417698867</v>
      </c>
      <c r="Q45" s="36">
        <f t="shared" si="92"/>
        <v>0.107455417698867</v>
      </c>
      <c r="R45" s="39">
        <v>3.49178214772787</v>
      </c>
      <c r="S45" s="39">
        <f t="shared" si="2"/>
        <v>1.29462367476011</v>
      </c>
      <c r="T45" s="39">
        <f t="shared" si="3"/>
        <v>2.88255358596751</v>
      </c>
      <c r="U45" s="39">
        <f t="shared" si="4"/>
        <v>2.05503523613977</v>
      </c>
      <c r="V45" s="39">
        <f t="shared" si="5"/>
        <v>3.24344790574356</v>
      </c>
      <c r="W45" s="39">
        <f t="shared" si="6"/>
        <v>6.88842911550903</v>
      </c>
      <c r="X45" s="39">
        <f t="shared" si="7"/>
        <v>3.07738035056938</v>
      </c>
      <c r="Y45" s="43"/>
      <c r="Z45" s="43">
        <v>0.728025211952843</v>
      </c>
      <c r="AA45" s="39"/>
      <c r="AB45" s="39"/>
      <c r="AC45" s="39"/>
      <c r="AD45" s="39"/>
      <c r="AE45" s="39"/>
      <c r="AF45" s="39"/>
      <c r="AG45" s="43"/>
      <c r="AH45" s="43"/>
    </row>
    <row r="46" spans="1:34">
      <c r="A46" s="37" t="s">
        <v>29</v>
      </c>
      <c r="B46" s="35" t="s">
        <v>83</v>
      </c>
      <c r="C46" s="39"/>
      <c r="D46" s="40" t="s">
        <v>72</v>
      </c>
      <c r="E46" s="36" t="s">
        <v>15</v>
      </c>
      <c r="F46" s="38">
        <v>0.0189539904035706</v>
      </c>
      <c r="G46" s="36">
        <f t="shared" ref="G46:K46" si="93">ABS(F46)</f>
        <v>0.0189539904035706</v>
      </c>
      <c r="H46" s="41">
        <v>-0.223970838697491</v>
      </c>
      <c r="I46" s="36">
        <f t="shared" si="93"/>
        <v>0.223970838697491</v>
      </c>
      <c r="J46" s="38">
        <v>-0.291165520796634</v>
      </c>
      <c r="K46" s="36">
        <f t="shared" si="93"/>
        <v>0.291165520796634</v>
      </c>
      <c r="L46" s="41">
        <v>-0.475324954220818</v>
      </c>
      <c r="M46" s="36">
        <f t="shared" ref="M46:Q46" si="94">ABS(L46)</f>
        <v>0.475324954220818</v>
      </c>
      <c r="N46" s="41">
        <v>0.931709324462537</v>
      </c>
      <c r="O46" s="36">
        <f t="shared" si="94"/>
        <v>0.931709324462537</v>
      </c>
      <c r="P46" s="39">
        <v>0.215555574606412</v>
      </c>
      <c r="Q46" s="36">
        <f t="shared" si="94"/>
        <v>0.215555574606412</v>
      </c>
      <c r="R46" s="39">
        <f>G46+I46+K46+M46+O46+Q46</f>
        <v>2.15668020318746</v>
      </c>
      <c r="S46" s="39">
        <f t="shared" si="2"/>
        <v>0.878850298507752</v>
      </c>
      <c r="T46" s="39">
        <f t="shared" si="3"/>
        <v>10.3849814342652</v>
      </c>
      <c r="U46" s="39">
        <f t="shared" si="4"/>
        <v>13.5006349279929</v>
      </c>
      <c r="V46" s="39">
        <f t="shared" si="5"/>
        <v>22.0396586159743</v>
      </c>
      <c r="W46" s="39">
        <f t="shared" si="6"/>
        <v>43.2010885566399</v>
      </c>
      <c r="X46" s="39">
        <f t="shared" si="7"/>
        <v>9.99478616661997</v>
      </c>
      <c r="Y46" s="43"/>
      <c r="Z46" s="43">
        <v>0.923036882278644</v>
      </c>
      <c r="AA46" s="39"/>
      <c r="AB46" s="39"/>
      <c r="AC46" s="39"/>
      <c r="AD46" s="39"/>
      <c r="AE46" s="39"/>
      <c r="AF46" s="39"/>
      <c r="AG46" s="43"/>
      <c r="AH46" s="43"/>
    </row>
    <row r="47" spans="1:34">
      <c r="A47" s="37" t="s">
        <v>30</v>
      </c>
      <c r="B47" s="39"/>
      <c r="C47" s="39"/>
      <c r="D47" s="40" t="s">
        <v>72</v>
      </c>
      <c r="E47" s="36" t="s">
        <v>8</v>
      </c>
      <c r="F47" s="38">
        <v>0.250037234046408</v>
      </c>
      <c r="G47" s="36">
        <f t="shared" ref="G47:K47" si="95">ABS(F47)</f>
        <v>0.250037234046408</v>
      </c>
      <c r="H47" s="41">
        <v>0.359501980396416</v>
      </c>
      <c r="I47" s="36">
        <f t="shared" si="95"/>
        <v>0.359501980396416</v>
      </c>
      <c r="J47" s="38">
        <v>0.269520094178603</v>
      </c>
      <c r="K47" s="36">
        <f t="shared" si="95"/>
        <v>0.269520094178603</v>
      </c>
      <c r="L47" s="41">
        <v>1.16895037219741</v>
      </c>
      <c r="M47" s="36">
        <f t="shared" ref="M47:Q47" si="96">ABS(L47)</f>
        <v>1.16895037219741</v>
      </c>
      <c r="N47" s="41">
        <v>-0.162144157340699</v>
      </c>
      <c r="O47" s="36">
        <f t="shared" si="96"/>
        <v>0.162144157340699</v>
      </c>
      <c r="P47" s="39">
        <v>-1.44142470163913</v>
      </c>
      <c r="Q47" s="36">
        <f t="shared" si="96"/>
        <v>1.44142470163913</v>
      </c>
      <c r="R47" s="39">
        <f>G47+I47+K47+M47+O47+Q47+G48+I48+K48+M48</f>
        <v>4.1951293981639</v>
      </c>
      <c r="S47" s="39">
        <f t="shared" si="2"/>
        <v>5.96017930116394</v>
      </c>
      <c r="T47" s="39">
        <f t="shared" si="3"/>
        <v>8.5695087392003</v>
      </c>
      <c r="U47" s="39">
        <f t="shared" si="4"/>
        <v>6.42459549153753</v>
      </c>
      <c r="V47" s="39">
        <f t="shared" si="5"/>
        <v>27.8644652226706</v>
      </c>
      <c r="W47" s="39">
        <f t="shared" si="6"/>
        <v>3.86505735464716</v>
      </c>
      <c r="X47" s="39">
        <f t="shared" si="7"/>
        <v>34.3594813134967</v>
      </c>
      <c r="Y47" s="43"/>
      <c r="Z47" s="43">
        <v>0.28669481211063</v>
      </c>
      <c r="AA47" s="39"/>
      <c r="AB47" s="39"/>
      <c r="AC47" s="39"/>
      <c r="AD47" s="39"/>
      <c r="AE47" s="39"/>
      <c r="AF47" s="39"/>
      <c r="AG47" s="43"/>
      <c r="AH47" s="43"/>
    </row>
    <row r="48" spans="1:34">
      <c r="A48" s="37" t="s">
        <v>30</v>
      </c>
      <c r="B48" s="39"/>
      <c r="C48" s="39"/>
      <c r="D48" s="40" t="s">
        <v>72</v>
      </c>
      <c r="E48" s="36" t="s">
        <v>14</v>
      </c>
      <c r="F48" s="38">
        <v>0.119733959319876</v>
      </c>
      <c r="G48" s="36">
        <f t="shared" ref="G48:K48" si="97">ABS(F48)</f>
        <v>0.119733959319876</v>
      </c>
      <c r="H48" s="41">
        <v>0.103177847674424</v>
      </c>
      <c r="I48" s="36">
        <f t="shared" si="97"/>
        <v>0.103177847674424</v>
      </c>
      <c r="J48" s="38">
        <v>-0.155348003856012</v>
      </c>
      <c r="K48" s="36">
        <f t="shared" si="97"/>
        <v>0.155348003856012</v>
      </c>
      <c r="L48" s="41">
        <v>0.165291047514917</v>
      </c>
      <c r="M48" s="36">
        <f t="shared" ref="M48:Q48" si="98">ABS(L48)</f>
        <v>0.165291047514917</v>
      </c>
      <c r="N48" s="41">
        <v>-0.162144157340699</v>
      </c>
      <c r="O48" s="36">
        <f t="shared" si="98"/>
        <v>0.162144157340699</v>
      </c>
      <c r="P48" s="39">
        <v>-0.158893129421512</v>
      </c>
      <c r="Q48" s="36">
        <f t="shared" si="98"/>
        <v>0.158893129421512</v>
      </c>
      <c r="R48" s="39">
        <v>4.19512939816389</v>
      </c>
      <c r="S48" s="39">
        <f t="shared" si="2"/>
        <v>2.8541183824337</v>
      </c>
      <c r="T48" s="39">
        <f t="shared" si="3"/>
        <v>2.45946758447028</v>
      </c>
      <c r="U48" s="39">
        <f t="shared" si="4"/>
        <v>3.70305630915709</v>
      </c>
      <c r="V48" s="39">
        <f t="shared" si="5"/>
        <v>3.94007030122268</v>
      </c>
      <c r="W48" s="39">
        <f t="shared" si="6"/>
        <v>3.86505735464717</v>
      </c>
      <c r="X48" s="39">
        <f t="shared" si="7"/>
        <v>3.78756205925509</v>
      </c>
      <c r="Y48" s="43"/>
      <c r="Z48" s="43">
        <v>0.630594870993178</v>
      </c>
      <c r="AA48" s="39"/>
      <c r="AB48" s="39"/>
      <c r="AC48" s="39"/>
      <c r="AD48" s="39"/>
      <c r="AE48" s="39"/>
      <c r="AF48" s="39"/>
      <c r="AG48" s="43"/>
      <c r="AH48" s="43"/>
    </row>
    <row r="49" spans="1:34">
      <c r="A49" s="37" t="s">
        <v>30</v>
      </c>
      <c r="B49" s="35" t="s">
        <v>82</v>
      </c>
      <c r="C49" s="39"/>
      <c r="D49" s="40" t="s">
        <v>72</v>
      </c>
      <c r="E49" s="36" t="s">
        <v>15</v>
      </c>
      <c r="F49" s="38">
        <v>0.00702108870547218</v>
      </c>
      <c r="G49" s="36">
        <f t="shared" ref="G49:K49" si="99">ABS(F49)</f>
        <v>0.00702108870547218</v>
      </c>
      <c r="H49" s="41">
        <v>1.03193840976668</v>
      </c>
      <c r="I49" s="36">
        <f t="shared" si="99"/>
        <v>1.03193840976668</v>
      </c>
      <c r="J49" s="38">
        <v>-0.021429096132973</v>
      </c>
      <c r="K49" s="36">
        <f t="shared" si="99"/>
        <v>0.021429096132973</v>
      </c>
      <c r="L49" s="41">
        <v>-1.26705026634314</v>
      </c>
      <c r="M49" s="36">
        <f t="shared" ref="M49:Q49" si="100">ABS(L49)</f>
        <v>1.26705026634314</v>
      </c>
      <c r="N49" s="41">
        <v>0.0534437367635596</v>
      </c>
      <c r="O49" s="36">
        <f t="shared" si="100"/>
        <v>0.0534437367635596</v>
      </c>
      <c r="P49" s="39">
        <v>0.711227642391914</v>
      </c>
      <c r="Q49" s="36">
        <f t="shared" si="100"/>
        <v>0.711227642391914</v>
      </c>
      <c r="R49" s="39">
        <f>G49+I49+K49+M49+O49+Q49</f>
        <v>3.09211024010374</v>
      </c>
      <c r="S49" s="39">
        <f t="shared" si="2"/>
        <v>0.227064630956904</v>
      </c>
      <c r="T49" s="39">
        <f t="shared" si="3"/>
        <v>33.3732735781134</v>
      </c>
      <c r="U49" s="39">
        <f t="shared" si="4"/>
        <v>0.693024972235597</v>
      </c>
      <c r="V49" s="39">
        <f t="shared" si="5"/>
        <v>40.9768788288942</v>
      </c>
      <c r="W49" s="39">
        <f t="shared" si="6"/>
        <v>1.72839040699165</v>
      </c>
      <c r="X49" s="39">
        <f t="shared" si="7"/>
        <v>23.0013675828082</v>
      </c>
      <c r="Y49" s="43"/>
      <c r="Z49" s="43">
        <v>0.553869892188709</v>
      </c>
      <c r="AA49" s="39"/>
      <c r="AB49" s="39"/>
      <c r="AC49" s="39"/>
      <c r="AD49" s="39"/>
      <c r="AE49" s="39"/>
      <c r="AF49" s="39"/>
      <c r="AG49" s="43"/>
      <c r="AH49" s="43"/>
    </row>
    <row r="50" spans="1:34">
      <c r="A50" s="37" t="s">
        <v>31</v>
      </c>
      <c r="B50" s="39"/>
      <c r="C50" s="39"/>
      <c r="D50" s="40" t="s">
        <v>72</v>
      </c>
      <c r="E50" s="36" t="s">
        <v>8</v>
      </c>
      <c r="F50" s="38">
        <v>-0.366867905789895</v>
      </c>
      <c r="G50" s="36">
        <f t="shared" ref="G50:K50" si="101">ABS(F50)</f>
        <v>0.366867905789895</v>
      </c>
      <c r="H50" s="41">
        <v>-0.0764149536666146</v>
      </c>
      <c r="I50" s="36">
        <f t="shared" si="101"/>
        <v>0.0764149536666146</v>
      </c>
      <c r="J50" s="38">
        <v>-0.0453582095713838</v>
      </c>
      <c r="K50" s="36">
        <f t="shared" si="101"/>
        <v>0.0453582095713838</v>
      </c>
      <c r="L50" s="41">
        <v>-1.35751627750382</v>
      </c>
      <c r="M50" s="36">
        <f t="shared" ref="M50:Q50" si="102">ABS(L50)</f>
        <v>1.35751627750382</v>
      </c>
      <c r="N50" s="41">
        <v>0.46939145467028</v>
      </c>
      <c r="O50" s="36">
        <f t="shared" si="102"/>
        <v>0.46939145467028</v>
      </c>
      <c r="P50" s="39">
        <v>-0.343573233676963</v>
      </c>
      <c r="Q50" s="36">
        <f t="shared" si="102"/>
        <v>0.343573233676963</v>
      </c>
      <c r="R50" s="39">
        <f>G50+I50+K50+M50+O50+Q50+G51+I51+K51+M51</f>
        <v>4.13310940562787</v>
      </c>
      <c r="S50" s="39">
        <f t="shared" si="2"/>
        <v>8.87631731428031</v>
      </c>
      <c r="T50" s="39">
        <f t="shared" si="3"/>
        <v>1.84884904238353</v>
      </c>
      <c r="U50" s="39">
        <f t="shared" si="4"/>
        <v>1.09743549274601</v>
      </c>
      <c r="V50" s="39">
        <f t="shared" si="5"/>
        <v>32.8449151540811</v>
      </c>
      <c r="W50" s="39">
        <f t="shared" si="6"/>
        <v>11.3568601409663</v>
      </c>
      <c r="X50" s="39">
        <f t="shared" si="7"/>
        <v>8.31270600311558</v>
      </c>
      <c r="Y50" s="43"/>
      <c r="Z50" s="43">
        <v>0.742707545974521</v>
      </c>
      <c r="AA50" s="39"/>
      <c r="AB50" s="39"/>
      <c r="AC50" s="39"/>
      <c r="AD50" s="39"/>
      <c r="AE50" s="39"/>
      <c r="AF50" s="39"/>
      <c r="AG50" s="43"/>
      <c r="AH50" s="43"/>
    </row>
    <row r="51" spans="1:34">
      <c r="A51" s="37" t="s">
        <v>31</v>
      </c>
      <c r="B51" s="39"/>
      <c r="C51" s="39"/>
      <c r="D51" s="40" t="s">
        <v>72</v>
      </c>
      <c r="E51" s="36" t="s">
        <v>14</v>
      </c>
      <c r="F51" s="38">
        <v>0.0839574335988129</v>
      </c>
      <c r="G51" s="36">
        <f t="shared" ref="G51:K51" si="103">ABS(F51)</f>
        <v>0.0839574335988129</v>
      </c>
      <c r="H51" s="41">
        <v>-0.613837289431364</v>
      </c>
      <c r="I51" s="36">
        <f t="shared" si="103"/>
        <v>0.613837289431364</v>
      </c>
      <c r="J51" s="38">
        <v>0.687600996300614</v>
      </c>
      <c r="K51" s="36">
        <f t="shared" si="103"/>
        <v>0.687600996300614</v>
      </c>
      <c r="L51" s="41">
        <v>-0.0885916514181255</v>
      </c>
      <c r="M51" s="36">
        <f t="shared" ref="M51:Q51" si="104">ABS(L51)</f>
        <v>0.0885916514181255</v>
      </c>
      <c r="N51" s="41">
        <v>0.46939145467028</v>
      </c>
      <c r="O51" s="36">
        <f t="shared" si="104"/>
        <v>0.46939145467028</v>
      </c>
      <c r="P51" s="39">
        <v>-0.543774538440034</v>
      </c>
      <c r="Q51" s="36">
        <f t="shared" si="104"/>
        <v>0.543774538440034</v>
      </c>
      <c r="R51" s="39">
        <v>4.13310940562787</v>
      </c>
      <c r="S51" s="39">
        <f t="shared" si="2"/>
        <v>2.03133828212947</v>
      </c>
      <c r="T51" s="39">
        <f t="shared" si="3"/>
        <v>14.8517067705861</v>
      </c>
      <c r="U51" s="39">
        <f t="shared" si="4"/>
        <v>16.6364092700846</v>
      </c>
      <c r="V51" s="39">
        <f t="shared" si="5"/>
        <v>2.14346252962707</v>
      </c>
      <c r="W51" s="39">
        <f t="shared" si="6"/>
        <v>11.3568601409663</v>
      </c>
      <c r="X51" s="39">
        <f t="shared" si="7"/>
        <v>13.1565483773452</v>
      </c>
      <c r="Y51" s="43"/>
      <c r="Z51" s="43">
        <v>0.659105510370184</v>
      </c>
      <c r="AA51" s="39"/>
      <c r="AB51" s="39"/>
      <c r="AC51" s="39"/>
      <c r="AD51" s="39"/>
      <c r="AE51" s="39"/>
      <c r="AF51" s="39"/>
      <c r="AG51" s="43"/>
      <c r="AH51" s="43"/>
    </row>
    <row r="52" spans="1:34">
      <c r="A52" s="37" t="s">
        <v>31</v>
      </c>
      <c r="B52" s="35" t="s">
        <v>83</v>
      </c>
      <c r="C52" s="39"/>
      <c r="D52" s="40" t="s">
        <v>72</v>
      </c>
      <c r="E52" s="36" t="s">
        <v>15</v>
      </c>
      <c r="F52" s="38">
        <v>0.0586429281248887</v>
      </c>
      <c r="G52" s="36">
        <f t="shared" ref="G52:K52" si="105">ABS(F52)</f>
        <v>0.0586429281248887</v>
      </c>
      <c r="H52" s="41">
        <v>-0.60446749468076</v>
      </c>
      <c r="I52" s="36">
        <f t="shared" si="105"/>
        <v>0.60446749468076</v>
      </c>
      <c r="J52" s="38">
        <v>0.109844805342213</v>
      </c>
      <c r="K52" s="36">
        <f t="shared" si="105"/>
        <v>0.109844805342213</v>
      </c>
      <c r="L52" s="41">
        <v>-0.193846362981155</v>
      </c>
      <c r="M52" s="36">
        <f t="shared" ref="M52:Q52" si="106">ABS(L52)</f>
        <v>0.193846362981155</v>
      </c>
      <c r="N52" s="41">
        <v>0.140959694255451</v>
      </c>
      <c r="O52" s="36">
        <f t="shared" si="106"/>
        <v>0.140959694255451</v>
      </c>
      <c r="P52" s="39">
        <v>-0.692951751878817</v>
      </c>
      <c r="Q52" s="36">
        <f t="shared" si="106"/>
        <v>0.692951751878817</v>
      </c>
      <c r="R52" s="39">
        <f>G52+I52+K52+M52+O52+Q52</f>
        <v>1.80071303726328</v>
      </c>
      <c r="S52" s="39">
        <f t="shared" si="2"/>
        <v>3.25665038856019</v>
      </c>
      <c r="T52" s="39">
        <f t="shared" si="3"/>
        <v>33.5682300384423</v>
      </c>
      <c r="U52" s="39">
        <f t="shared" si="4"/>
        <v>6.10007275279989</v>
      </c>
      <c r="V52" s="39">
        <f t="shared" si="5"/>
        <v>10.7649780375757</v>
      </c>
      <c r="W52" s="39">
        <f t="shared" si="6"/>
        <v>7.82799320816163</v>
      </c>
      <c r="X52" s="39">
        <f t="shared" si="7"/>
        <v>38.4820755744603</v>
      </c>
      <c r="Y52" s="43"/>
      <c r="Z52" s="43">
        <v>0.922200695057623</v>
      </c>
      <c r="AA52" s="39"/>
      <c r="AB52" s="39"/>
      <c r="AC52" s="39"/>
      <c r="AD52" s="39"/>
      <c r="AE52" s="39"/>
      <c r="AF52" s="39"/>
      <c r="AG52" s="43"/>
      <c r="AH52" s="43"/>
    </row>
    <row r="53" spans="1:34">
      <c r="A53" s="37" t="s">
        <v>32</v>
      </c>
      <c r="B53" s="39"/>
      <c r="C53" s="39"/>
      <c r="D53" s="40" t="s">
        <v>72</v>
      </c>
      <c r="E53" s="36" t="s">
        <v>8</v>
      </c>
      <c r="F53" s="38">
        <v>-0.178420429961915</v>
      </c>
      <c r="G53" s="36">
        <f t="shared" ref="G53:K53" si="107">ABS(F53)</f>
        <v>0.178420429961915</v>
      </c>
      <c r="H53" s="41">
        <v>-0.0940037366508802</v>
      </c>
      <c r="I53" s="36">
        <f t="shared" si="107"/>
        <v>0.0940037366508802</v>
      </c>
      <c r="J53" s="38">
        <v>0.0470256117972782</v>
      </c>
      <c r="K53" s="36">
        <f t="shared" si="107"/>
        <v>0.0470256117972782</v>
      </c>
      <c r="L53" s="41">
        <v>-0.713512569339221</v>
      </c>
      <c r="M53" s="36">
        <f t="shared" ref="M53:Q53" si="108">ABS(L53)</f>
        <v>0.713512569339221</v>
      </c>
      <c r="N53" s="41">
        <v>0.309080458123551</v>
      </c>
      <c r="O53" s="36">
        <f t="shared" si="108"/>
        <v>0.309080458123551</v>
      </c>
      <c r="P53" s="39">
        <v>0.148807752594834</v>
      </c>
      <c r="Q53" s="36">
        <f t="shared" si="108"/>
        <v>0.148807752594834</v>
      </c>
      <c r="R53" s="39">
        <f>G53+I53+K53+M53+O53+Q53+G54+I54+K54+M54</f>
        <v>2.02364716764172</v>
      </c>
      <c r="S53" s="39">
        <f t="shared" si="2"/>
        <v>8.81677561261035</v>
      </c>
      <c r="T53" s="39">
        <f t="shared" si="3"/>
        <v>4.64526317403585</v>
      </c>
      <c r="U53" s="39">
        <f t="shared" si="4"/>
        <v>2.32380488798747</v>
      </c>
      <c r="V53" s="39">
        <f t="shared" si="5"/>
        <v>35.2587437547585</v>
      </c>
      <c r="W53" s="39">
        <f t="shared" si="6"/>
        <v>15.2734361535831</v>
      </c>
      <c r="X53" s="39">
        <f t="shared" si="7"/>
        <v>7.35344357328106</v>
      </c>
      <c r="Y53" s="43"/>
      <c r="Z53" s="43">
        <v>0.199655144303864</v>
      </c>
      <c r="AA53" s="39"/>
      <c r="AB53" s="39"/>
      <c r="AC53" s="39"/>
      <c r="AD53" s="39"/>
      <c r="AE53" s="39"/>
      <c r="AF53" s="39"/>
      <c r="AG53" s="43"/>
      <c r="AH53" s="43"/>
    </row>
    <row r="54" spans="1:34">
      <c r="A54" s="37" t="s">
        <v>32</v>
      </c>
      <c r="B54" s="39"/>
      <c r="C54" s="39"/>
      <c r="D54" s="40" t="s">
        <v>72</v>
      </c>
      <c r="E54" s="36" t="s">
        <v>14</v>
      </c>
      <c r="F54" s="38">
        <v>-0.00975216548903751</v>
      </c>
      <c r="G54" s="36">
        <f t="shared" ref="G54:K54" si="109">ABS(F54)</f>
        <v>0.00975216548903751</v>
      </c>
      <c r="H54" s="41">
        <v>-0.273705214471883</v>
      </c>
      <c r="I54" s="36">
        <f t="shared" si="109"/>
        <v>0.273705214471883</v>
      </c>
      <c r="J54" s="38">
        <v>0.0552964956922536</v>
      </c>
      <c r="K54" s="36">
        <f t="shared" si="109"/>
        <v>0.0552964956922536</v>
      </c>
      <c r="L54" s="41">
        <v>0.194042733520863</v>
      </c>
      <c r="M54" s="36">
        <f t="shared" ref="M54:Q54" si="110">ABS(L54)</f>
        <v>0.194042733520863</v>
      </c>
      <c r="N54" s="41">
        <v>0.309080458123551</v>
      </c>
      <c r="O54" s="36">
        <f t="shared" si="110"/>
        <v>0.309080458123551</v>
      </c>
      <c r="P54" s="39">
        <v>-0.0774367067454201</v>
      </c>
      <c r="Q54" s="36">
        <f t="shared" si="110"/>
        <v>0.0774367067454201</v>
      </c>
      <c r="R54" s="39">
        <v>2.02364716764172</v>
      </c>
      <c r="S54" s="39">
        <f t="shared" si="2"/>
        <v>0.481910366835455</v>
      </c>
      <c r="T54" s="39">
        <f t="shared" si="3"/>
        <v>13.5253427004693</v>
      </c>
      <c r="U54" s="39">
        <f t="shared" si="4"/>
        <v>2.73251664501841</v>
      </c>
      <c r="V54" s="39">
        <f t="shared" si="5"/>
        <v>9.58876313142043</v>
      </c>
      <c r="W54" s="39">
        <f t="shared" si="6"/>
        <v>15.2734361535831</v>
      </c>
      <c r="X54" s="39">
        <f t="shared" si="7"/>
        <v>3.82659131412033</v>
      </c>
      <c r="Y54" s="43"/>
      <c r="Z54" s="43">
        <v>0.699241304992241</v>
      </c>
      <c r="AA54" s="39"/>
      <c r="AB54" s="39"/>
      <c r="AC54" s="39"/>
      <c r="AD54" s="39"/>
      <c r="AE54" s="39"/>
      <c r="AF54" s="39"/>
      <c r="AG54" s="43"/>
      <c r="AH54" s="43"/>
    </row>
    <row r="55" spans="1:34">
      <c r="A55" s="37" t="s">
        <v>32</v>
      </c>
      <c r="B55" s="35" t="s">
        <v>83</v>
      </c>
      <c r="C55" s="39"/>
      <c r="D55" s="40" t="s">
        <v>72</v>
      </c>
      <c r="E55" s="36" t="s">
        <v>15</v>
      </c>
      <c r="F55" s="38">
        <v>-0.00299036063576323</v>
      </c>
      <c r="G55" s="36">
        <f t="shared" ref="G55:K55" si="111">ABS(F55)</f>
        <v>0.00299036063576323</v>
      </c>
      <c r="H55" s="41">
        <v>-0.224983427931652</v>
      </c>
      <c r="I55" s="36">
        <f t="shared" si="111"/>
        <v>0.224983427931652</v>
      </c>
      <c r="J55" s="38">
        <v>-0.00859020857063419</v>
      </c>
      <c r="K55" s="36">
        <f t="shared" si="111"/>
        <v>0.00859020857063419</v>
      </c>
      <c r="L55" s="41">
        <v>0.344606744243876</v>
      </c>
      <c r="M55" s="36">
        <f t="shared" ref="M55:Q55" si="112">ABS(L55)</f>
        <v>0.344606744243876</v>
      </c>
      <c r="N55" s="41">
        <v>0.0527241881327221</v>
      </c>
      <c r="O55" s="36">
        <f t="shared" si="112"/>
        <v>0.0527241881327221</v>
      </c>
      <c r="P55" s="39">
        <v>-0.366827541299155</v>
      </c>
      <c r="Q55" s="36">
        <f t="shared" si="112"/>
        <v>0.366827541299155</v>
      </c>
      <c r="R55" s="39">
        <f>G55+I55+K55+M55+O55+Q55</f>
        <v>1.0007224708138</v>
      </c>
      <c r="S55" s="39">
        <f t="shared" si="2"/>
        <v>0.298820174721511</v>
      </c>
      <c r="T55" s="39">
        <f t="shared" si="3"/>
        <v>22.4821001319869</v>
      </c>
      <c r="U55" s="39">
        <f t="shared" si="4"/>
        <v>0.858400687620065</v>
      </c>
      <c r="V55" s="39">
        <f t="shared" si="5"/>
        <v>34.4357955671403</v>
      </c>
      <c r="W55" s="39">
        <f t="shared" si="6"/>
        <v>5.26861239458788</v>
      </c>
      <c r="X55" s="39">
        <f t="shared" si="7"/>
        <v>36.6562710439434</v>
      </c>
      <c r="Y55" s="43"/>
      <c r="Z55" s="43">
        <v>0.383918524267102</v>
      </c>
      <c r="AA55" s="39"/>
      <c r="AB55" s="39"/>
      <c r="AC55" s="39"/>
      <c r="AD55" s="39"/>
      <c r="AE55" s="39"/>
      <c r="AF55" s="39"/>
      <c r="AG55" s="43"/>
      <c r="AH55" s="43"/>
    </row>
    <row r="56" spans="1:34">
      <c r="A56" s="37" t="s">
        <v>33</v>
      </c>
      <c r="B56" s="39"/>
      <c r="C56" s="39"/>
      <c r="D56" s="40" t="s">
        <v>72</v>
      </c>
      <c r="E56" s="36" t="s">
        <v>8</v>
      </c>
      <c r="F56" s="38">
        <v>0.23590172813666</v>
      </c>
      <c r="G56" s="36">
        <f t="shared" ref="G56:K56" si="113">ABS(F56)</f>
        <v>0.23590172813666</v>
      </c>
      <c r="H56" s="41">
        <v>0.100812666663987</v>
      </c>
      <c r="I56" s="36">
        <f t="shared" si="113"/>
        <v>0.100812666663987</v>
      </c>
      <c r="J56" s="38">
        <v>-0.0209385522517379</v>
      </c>
      <c r="K56" s="36">
        <f t="shared" si="113"/>
        <v>0.0209385522517379</v>
      </c>
      <c r="L56" s="41">
        <v>0.572339225717337</v>
      </c>
      <c r="M56" s="36">
        <f t="shared" ref="M56:Q56" si="114">ABS(L56)</f>
        <v>0.572339225717337</v>
      </c>
      <c r="N56" s="41">
        <v>0.157273110119202</v>
      </c>
      <c r="O56" s="36">
        <f t="shared" si="114"/>
        <v>0.157273110119202</v>
      </c>
      <c r="P56" s="39">
        <v>-1.06588307468389</v>
      </c>
      <c r="Q56" s="36">
        <f t="shared" si="114"/>
        <v>1.06588307468389</v>
      </c>
      <c r="R56" s="39">
        <f>G56+I56+K56+M56+O56+Q56+G57+I57+K57+M57</f>
        <v>3.59295687442388</v>
      </c>
      <c r="S56" s="39">
        <f t="shared" si="2"/>
        <v>6.56567101642394</v>
      </c>
      <c r="T56" s="39">
        <f t="shared" si="3"/>
        <v>2.80584126632892</v>
      </c>
      <c r="U56" s="39">
        <f t="shared" si="4"/>
        <v>0.582766589846569</v>
      </c>
      <c r="V56" s="39">
        <f t="shared" si="5"/>
        <v>15.9294766322268</v>
      </c>
      <c r="W56" s="39">
        <f t="shared" si="6"/>
        <v>4.37726128133448</v>
      </c>
      <c r="X56" s="39">
        <f t="shared" si="7"/>
        <v>29.6659022620415</v>
      </c>
      <c r="Y56" s="43"/>
      <c r="Z56" s="43">
        <v>0.746777054735481</v>
      </c>
      <c r="AA56" s="39"/>
      <c r="AB56" s="39"/>
      <c r="AC56" s="39"/>
      <c r="AD56" s="39"/>
      <c r="AE56" s="39"/>
      <c r="AF56" s="39"/>
      <c r="AG56" s="43"/>
      <c r="AH56" s="43"/>
    </row>
    <row r="57" spans="1:34">
      <c r="A57" s="37" t="s">
        <v>33</v>
      </c>
      <c r="B57" s="39"/>
      <c r="C57" s="39"/>
      <c r="D57" s="40" t="s">
        <v>72</v>
      </c>
      <c r="E57" s="36" t="s">
        <v>14</v>
      </c>
      <c r="F57" s="38">
        <v>-0.105587293776062</v>
      </c>
      <c r="G57" s="36">
        <f t="shared" ref="G57:K57" si="115">ABS(F57)</f>
        <v>0.105587293776062</v>
      </c>
      <c r="H57" s="41">
        <v>-0.723580894888252</v>
      </c>
      <c r="I57" s="36">
        <f t="shared" si="115"/>
        <v>0.723580894888252</v>
      </c>
      <c r="J57" s="38">
        <v>-0.313674941089192</v>
      </c>
      <c r="K57" s="36">
        <f t="shared" si="115"/>
        <v>0.313674941089192</v>
      </c>
      <c r="L57" s="41">
        <v>-0.296965387097558</v>
      </c>
      <c r="M57" s="36">
        <f t="shared" ref="M57:Q57" si="116">ABS(L57)</f>
        <v>0.296965387097558</v>
      </c>
      <c r="N57" s="41">
        <v>0.157273110119202</v>
      </c>
      <c r="O57" s="36">
        <f t="shared" si="116"/>
        <v>0.157273110119202</v>
      </c>
      <c r="P57" s="39">
        <v>-0.285517280230141</v>
      </c>
      <c r="Q57" s="36">
        <f t="shared" si="116"/>
        <v>0.285517280230141</v>
      </c>
      <c r="R57" s="39">
        <v>3.59295687442387</v>
      </c>
      <c r="S57" s="39">
        <f t="shared" si="2"/>
        <v>2.93872978347376</v>
      </c>
      <c r="T57" s="39">
        <f t="shared" si="3"/>
        <v>20.1388694653976</v>
      </c>
      <c r="U57" s="39">
        <f t="shared" si="4"/>
        <v>8.73027292150535</v>
      </c>
      <c r="V57" s="39">
        <f t="shared" si="5"/>
        <v>8.26520878142119</v>
      </c>
      <c r="W57" s="39">
        <f t="shared" si="6"/>
        <v>4.37726128133449</v>
      </c>
      <c r="X57" s="39">
        <f t="shared" si="7"/>
        <v>7.94658244474264</v>
      </c>
      <c r="Y57" s="43"/>
      <c r="Z57" s="43">
        <v>0.8815050370431</v>
      </c>
      <c r="AA57" s="39"/>
      <c r="AB57" s="39"/>
      <c r="AC57" s="39"/>
      <c r="AD57" s="39"/>
      <c r="AE57" s="39"/>
      <c r="AF57" s="39"/>
      <c r="AG57" s="43"/>
      <c r="AH57" s="43"/>
    </row>
    <row r="58" spans="1:34">
      <c r="A58" s="37" t="s">
        <v>33</v>
      </c>
      <c r="B58" s="35" t="s">
        <v>83</v>
      </c>
      <c r="C58" s="39"/>
      <c r="D58" s="40" t="s">
        <v>72</v>
      </c>
      <c r="E58" s="36" t="s">
        <v>15</v>
      </c>
      <c r="F58" s="38">
        <v>-0.0171126202006511</v>
      </c>
      <c r="G58" s="36">
        <f t="shared" ref="G58:K58" si="117">ABS(F58)</f>
        <v>0.0171126202006511</v>
      </c>
      <c r="H58" s="41">
        <v>-0.1831825592304</v>
      </c>
      <c r="I58" s="36">
        <f t="shared" si="117"/>
        <v>0.1831825592304</v>
      </c>
      <c r="J58" s="38">
        <v>-0.47916825860215</v>
      </c>
      <c r="K58" s="36">
        <f t="shared" si="117"/>
        <v>0.47916825860215</v>
      </c>
      <c r="L58" s="41">
        <v>-0.927898362107707</v>
      </c>
      <c r="M58" s="36">
        <f t="shared" ref="M58:Q58" si="118">ABS(L58)</f>
        <v>0.927898362107707</v>
      </c>
      <c r="N58" s="41">
        <v>0.403149310401982</v>
      </c>
      <c r="O58" s="36">
        <f t="shared" si="118"/>
        <v>0.403149310401982</v>
      </c>
      <c r="P58" s="39">
        <v>-0.0988178132913745</v>
      </c>
      <c r="Q58" s="36">
        <f t="shared" si="118"/>
        <v>0.0988178132913745</v>
      </c>
      <c r="R58" s="39">
        <f>G58+I58+K58+M58+O58+Q58</f>
        <v>2.10932892383426</v>
      </c>
      <c r="S58" s="39">
        <f t="shared" si="2"/>
        <v>0.811282678926356</v>
      </c>
      <c r="T58" s="39">
        <f t="shared" si="3"/>
        <v>8.68439991319216</v>
      </c>
      <c r="U58" s="39">
        <f t="shared" si="4"/>
        <v>22.7166210631168</v>
      </c>
      <c r="V58" s="39">
        <f t="shared" si="5"/>
        <v>43.9902165860887</v>
      </c>
      <c r="W58" s="39">
        <f t="shared" si="6"/>
        <v>19.1126810923899</v>
      </c>
      <c r="X58" s="39">
        <f t="shared" si="7"/>
        <v>4.6847986662861</v>
      </c>
      <c r="Y58" s="43"/>
      <c r="Z58" s="43">
        <v>0.930464809363794</v>
      </c>
      <c r="AA58" s="39"/>
      <c r="AB58" s="39"/>
      <c r="AC58" s="39"/>
      <c r="AD58" s="39"/>
      <c r="AE58" s="39"/>
      <c r="AF58" s="39"/>
      <c r="AG58" s="43"/>
      <c r="AH58" s="43"/>
    </row>
    <row r="59" spans="1:34">
      <c r="A59" s="37" t="s">
        <v>34</v>
      </c>
      <c r="B59" s="39"/>
      <c r="C59" s="39"/>
      <c r="D59" s="40" t="s">
        <v>72</v>
      </c>
      <c r="E59" s="36" t="s">
        <v>8</v>
      </c>
      <c r="F59" s="38">
        <v>0.344277116231776</v>
      </c>
      <c r="G59" s="36">
        <f t="shared" ref="G59:K59" si="119">ABS(F59)</f>
        <v>0.344277116231776</v>
      </c>
      <c r="H59" s="41">
        <v>-1.51158225446578</v>
      </c>
      <c r="I59" s="36">
        <f t="shared" si="119"/>
        <v>1.51158225446578</v>
      </c>
      <c r="J59" s="38">
        <v>0.343174437491021</v>
      </c>
      <c r="K59" s="36">
        <f t="shared" si="119"/>
        <v>0.343174437491021</v>
      </c>
      <c r="L59" s="41">
        <v>2.74882594139154</v>
      </c>
      <c r="M59" s="36">
        <f t="shared" ref="M59:Q59" si="120">ABS(L59)</f>
        <v>2.74882594139154</v>
      </c>
      <c r="N59" s="41">
        <v>-0.254867833863713</v>
      </c>
      <c r="O59" s="36">
        <f t="shared" si="120"/>
        <v>0.254867833863713</v>
      </c>
      <c r="P59" s="37">
        <v>-1.83104533425737</v>
      </c>
      <c r="Q59" s="36">
        <f t="shared" si="120"/>
        <v>1.83104533425737</v>
      </c>
      <c r="R59" s="39">
        <f>G59+I59+K59+M59+O59+Q59+G60+I60+K60+M60</f>
        <v>7.49010117675921</v>
      </c>
      <c r="S59" s="39">
        <f t="shared" si="2"/>
        <v>4.59642811368186</v>
      </c>
      <c r="T59" s="39">
        <f t="shared" si="3"/>
        <v>20.1810659000979</v>
      </c>
      <c r="U59" s="39">
        <f t="shared" si="4"/>
        <v>4.58170629998759</v>
      </c>
      <c r="V59" s="39">
        <f t="shared" si="5"/>
        <v>36.6994500677879</v>
      </c>
      <c r="W59" s="39">
        <f t="shared" si="6"/>
        <v>3.40272885304319</v>
      </c>
      <c r="X59" s="39">
        <f t="shared" si="7"/>
        <v>24.4462029423429</v>
      </c>
      <c r="Y59" s="43"/>
      <c r="Z59" s="43">
        <v>0.702308470619642</v>
      </c>
      <c r="AA59" s="39"/>
      <c r="AB59" s="39"/>
      <c r="AC59" s="39"/>
      <c r="AD59" s="39"/>
      <c r="AE59" s="39"/>
      <c r="AF59" s="39"/>
      <c r="AG59" s="43"/>
      <c r="AH59" s="43"/>
    </row>
    <row r="60" spans="1:34">
      <c r="A60" s="37" t="s">
        <v>34</v>
      </c>
      <c r="B60" s="39"/>
      <c r="C60" s="39"/>
      <c r="D60" s="40" t="s">
        <v>72</v>
      </c>
      <c r="E60" s="36" t="s">
        <v>14</v>
      </c>
      <c r="F60" s="38">
        <v>0.1958507174457</v>
      </c>
      <c r="G60" s="36">
        <f t="shared" ref="G60:K60" si="121">ABS(F60)</f>
        <v>0.1958507174457</v>
      </c>
      <c r="H60" s="41">
        <v>-0.100081662615266</v>
      </c>
      <c r="I60" s="36">
        <f t="shared" si="121"/>
        <v>0.100081662615266</v>
      </c>
      <c r="J60" s="38">
        <v>-0.153372919578951</v>
      </c>
      <c r="K60" s="36">
        <f t="shared" si="121"/>
        <v>0.153372919578951</v>
      </c>
      <c r="L60" s="41">
        <v>0.00702295941808943</v>
      </c>
      <c r="M60" s="36">
        <f t="shared" ref="M60:Q60" si="122">ABS(L60)</f>
        <v>0.00702295941808943</v>
      </c>
      <c r="N60" s="41">
        <v>-0.254867833863713</v>
      </c>
      <c r="O60" s="36">
        <f t="shared" si="122"/>
        <v>0.254867833863713</v>
      </c>
      <c r="P60" s="39">
        <v>-0.350526958735196</v>
      </c>
      <c r="Q60" s="36">
        <f t="shared" si="122"/>
        <v>0.350526958735196</v>
      </c>
      <c r="R60" s="39">
        <v>7.4901011767592</v>
      </c>
      <c r="S60" s="39">
        <f t="shared" si="2"/>
        <v>2.6147940171142</v>
      </c>
      <c r="T60" s="39">
        <f t="shared" si="3"/>
        <v>1.33618572370966</v>
      </c>
      <c r="U60" s="39">
        <f t="shared" si="4"/>
        <v>2.04767487059917</v>
      </c>
      <c r="V60" s="39">
        <f t="shared" si="5"/>
        <v>0.0937632116356552</v>
      </c>
      <c r="W60" s="39">
        <f t="shared" si="6"/>
        <v>3.40272885304319</v>
      </c>
      <c r="X60" s="39">
        <f t="shared" si="7"/>
        <v>4.67986947656775</v>
      </c>
      <c r="Y60" s="43"/>
      <c r="Z60" s="43">
        <v>0.670469842945625</v>
      </c>
      <c r="AA60" s="39"/>
      <c r="AB60" s="39"/>
      <c r="AC60" s="39"/>
      <c r="AD60" s="39"/>
      <c r="AE60" s="39"/>
      <c r="AF60" s="39"/>
      <c r="AG60" s="43"/>
      <c r="AH60" s="43"/>
    </row>
    <row r="61" spans="1:34">
      <c r="A61" s="37" t="s">
        <v>34</v>
      </c>
      <c r="B61" s="35" t="s">
        <v>82</v>
      </c>
      <c r="C61" s="39"/>
      <c r="D61" s="40" t="s">
        <v>72</v>
      </c>
      <c r="E61" s="36" t="s">
        <v>15</v>
      </c>
      <c r="F61" s="38">
        <v>0.00476001679462828</v>
      </c>
      <c r="G61" s="36">
        <f t="shared" ref="G61:K61" si="123">ABS(F61)</f>
        <v>0.00476001679462828</v>
      </c>
      <c r="H61" s="41">
        <v>0.354871131190342</v>
      </c>
      <c r="I61" s="36">
        <f t="shared" si="123"/>
        <v>0.354871131190342</v>
      </c>
      <c r="J61" s="38">
        <v>-0.0422721873101743</v>
      </c>
      <c r="K61" s="36">
        <f t="shared" si="123"/>
        <v>0.0422721873101743</v>
      </c>
      <c r="L61" s="41">
        <v>-1.20513703334837</v>
      </c>
      <c r="M61" s="36">
        <f t="shared" ref="M61:Q61" si="124">ABS(L61)</f>
        <v>1.20513703334837</v>
      </c>
      <c r="N61" s="41">
        <v>0.071320278573769</v>
      </c>
      <c r="O61" s="36">
        <f t="shared" si="124"/>
        <v>0.071320278573769</v>
      </c>
      <c r="P61" s="39">
        <v>0.349791127433138</v>
      </c>
      <c r="Q61" s="36">
        <f t="shared" si="124"/>
        <v>0.349791127433138</v>
      </c>
      <c r="R61" s="39">
        <f>G61+I61+K61+M61+O61+Q61</f>
        <v>2.02815177465042</v>
      </c>
      <c r="S61" s="39">
        <f t="shared" si="2"/>
        <v>0.234697267439402</v>
      </c>
      <c r="T61" s="39">
        <f t="shared" si="3"/>
        <v>17.4972670007159</v>
      </c>
      <c r="U61" s="39">
        <f t="shared" si="4"/>
        <v>2.08427139618091</v>
      </c>
      <c r="V61" s="39">
        <f t="shared" si="5"/>
        <v>59.4204560236174</v>
      </c>
      <c r="W61" s="39">
        <f t="shared" si="6"/>
        <v>3.51651584783698</v>
      </c>
      <c r="X61" s="39">
        <f t="shared" si="7"/>
        <v>17.2467924642094</v>
      </c>
      <c r="Y61" s="43"/>
      <c r="Z61" s="43">
        <v>0.738355386031117</v>
      </c>
      <c r="AA61" s="39"/>
      <c r="AB61" s="39"/>
      <c r="AC61" s="39"/>
      <c r="AD61" s="39"/>
      <c r="AE61" s="39"/>
      <c r="AF61" s="39"/>
      <c r="AG61" s="43"/>
      <c r="AH61" s="43"/>
    </row>
    <row r="62" spans="1:34">
      <c r="A62" s="37" t="s">
        <v>35</v>
      </c>
      <c r="B62" s="39"/>
      <c r="C62" s="39"/>
      <c r="D62" s="40" t="s">
        <v>72</v>
      </c>
      <c r="E62" s="36" t="s">
        <v>8</v>
      </c>
      <c r="F62" s="38">
        <v>0.0892465791356768</v>
      </c>
      <c r="G62" s="36">
        <f t="shared" ref="G62:K62" si="125">ABS(F62)</f>
        <v>0.0892465791356768</v>
      </c>
      <c r="H62" s="41">
        <v>-0.456394701947996</v>
      </c>
      <c r="I62" s="36">
        <f t="shared" si="125"/>
        <v>0.456394701947996</v>
      </c>
      <c r="J62" s="38">
        <v>-0.252413878201644</v>
      </c>
      <c r="K62" s="36">
        <f t="shared" si="125"/>
        <v>0.252413878201644</v>
      </c>
      <c r="L62" s="41">
        <v>0.537560489760533</v>
      </c>
      <c r="M62" s="36">
        <f t="shared" ref="M62:Q62" si="126">ABS(L62)</f>
        <v>0.537560489760533</v>
      </c>
      <c r="N62" s="41">
        <v>-0.0283457691934741</v>
      </c>
      <c r="O62" s="36">
        <f t="shared" si="126"/>
        <v>0.0283457691934741</v>
      </c>
      <c r="P62" s="39">
        <v>-0.296071796659986</v>
      </c>
      <c r="Q62" s="36">
        <f t="shared" si="126"/>
        <v>0.296071796659986</v>
      </c>
      <c r="R62" s="39">
        <f>G62+I62+K62+M62+O62+Q62+G63+I63+K63+M63</f>
        <v>2.12703828031084</v>
      </c>
      <c r="S62" s="39">
        <f t="shared" si="2"/>
        <v>4.19581443182275</v>
      </c>
      <c r="T62" s="39">
        <f t="shared" si="3"/>
        <v>21.4568165590936</v>
      </c>
      <c r="U62" s="39">
        <f t="shared" si="4"/>
        <v>11.8669175133396</v>
      </c>
      <c r="V62" s="39">
        <f t="shared" si="5"/>
        <v>25.2727228624195</v>
      </c>
      <c r="W62" s="39">
        <f t="shared" si="6"/>
        <v>1.33264029405863</v>
      </c>
      <c r="X62" s="39">
        <f t="shared" si="7"/>
        <v>13.919439034107</v>
      </c>
      <c r="Y62" s="43"/>
      <c r="Z62" s="43">
        <v>0.1921966557302</v>
      </c>
      <c r="AA62" s="39"/>
      <c r="AB62" s="39"/>
      <c r="AC62" s="39"/>
      <c r="AD62" s="39"/>
      <c r="AE62" s="39"/>
      <c r="AF62" s="39"/>
      <c r="AG62" s="43"/>
      <c r="AH62" s="43"/>
    </row>
    <row r="63" spans="1:34">
      <c r="A63" s="37" t="s">
        <v>35</v>
      </c>
      <c r="B63" s="39"/>
      <c r="C63" s="39"/>
      <c r="D63" s="40" t="s">
        <v>72</v>
      </c>
      <c r="E63" s="36" t="s">
        <v>14</v>
      </c>
      <c r="F63" s="38">
        <v>-0.0130898065252816</v>
      </c>
      <c r="G63" s="36">
        <f t="shared" ref="G63:K63" si="127">ABS(F63)</f>
        <v>0.0130898065252816</v>
      </c>
      <c r="H63" s="41">
        <v>0.096132013127666</v>
      </c>
      <c r="I63" s="36">
        <f t="shared" si="127"/>
        <v>0.096132013127666</v>
      </c>
      <c r="J63" s="38">
        <v>0.191474334452397</v>
      </c>
      <c r="K63" s="36">
        <f t="shared" si="127"/>
        <v>0.191474334452397</v>
      </c>
      <c r="L63" s="41">
        <v>0.16630891130619</v>
      </c>
      <c r="M63" s="36">
        <f t="shared" ref="M63:Q63" si="128">ABS(L63)</f>
        <v>0.16630891130619</v>
      </c>
      <c r="N63" s="41">
        <v>-0.0283457691934741</v>
      </c>
      <c r="O63" s="36">
        <f t="shared" si="128"/>
        <v>0.0283457691934741</v>
      </c>
      <c r="P63" s="39">
        <v>-0.0682650019504964</v>
      </c>
      <c r="Q63" s="36">
        <f t="shared" si="128"/>
        <v>0.0682650019504964</v>
      </c>
      <c r="R63" s="39">
        <v>2.12703828031085</v>
      </c>
      <c r="S63" s="39">
        <f t="shared" si="2"/>
        <v>0.615400608745444</v>
      </c>
      <c r="T63" s="39">
        <f t="shared" si="3"/>
        <v>4.51952435541579</v>
      </c>
      <c r="U63" s="39">
        <f t="shared" si="4"/>
        <v>9.00192235489126</v>
      </c>
      <c r="V63" s="39">
        <f t="shared" si="5"/>
        <v>7.81880198610649</v>
      </c>
      <c r="W63" s="39">
        <f t="shared" si="6"/>
        <v>1.33264029405863</v>
      </c>
      <c r="X63" s="39">
        <f t="shared" si="7"/>
        <v>3.20939226070346</v>
      </c>
      <c r="Y63" s="43"/>
      <c r="Z63" s="43">
        <v>0.069228850497254</v>
      </c>
      <c r="AA63" s="39"/>
      <c r="AB63" s="39"/>
      <c r="AC63" s="39"/>
      <c r="AD63" s="39"/>
      <c r="AE63" s="39"/>
      <c r="AF63" s="39"/>
      <c r="AG63" s="43"/>
      <c r="AH63" s="43"/>
    </row>
    <row r="64" spans="1:34">
      <c r="A64" s="37" t="s">
        <v>35</v>
      </c>
      <c r="B64" s="35" t="s">
        <v>82</v>
      </c>
      <c r="C64" s="39"/>
      <c r="D64" s="40" t="s">
        <v>72</v>
      </c>
      <c r="E64" s="36" t="s">
        <v>15</v>
      </c>
      <c r="F64" s="38">
        <v>-0.0162691062412385</v>
      </c>
      <c r="G64" s="36">
        <f t="shared" ref="G64:K64" si="129">ABS(F64)</f>
        <v>0.0162691062412385</v>
      </c>
      <c r="H64" s="41">
        <v>-0.414415293273274</v>
      </c>
      <c r="I64" s="36">
        <f t="shared" si="129"/>
        <v>0.414415293273274</v>
      </c>
      <c r="J64" s="38">
        <v>0.0770506315322049</v>
      </c>
      <c r="K64" s="36">
        <f t="shared" si="129"/>
        <v>0.0770506315322049</v>
      </c>
      <c r="L64" s="41">
        <v>0.294333563760339</v>
      </c>
      <c r="M64" s="36">
        <f t="shared" ref="M64:Q64" si="130">ABS(L64)</f>
        <v>0.294333563760339</v>
      </c>
      <c r="N64" s="41">
        <v>0.0110146187317448</v>
      </c>
      <c r="O64" s="36">
        <f t="shared" si="130"/>
        <v>0.0110146187317448</v>
      </c>
      <c r="P64" s="39">
        <v>0.0543461915508297</v>
      </c>
      <c r="Q64" s="36">
        <f t="shared" si="130"/>
        <v>0.0543461915508297</v>
      </c>
      <c r="R64" s="39">
        <f>G64+I64+K64+M64+O64+Q64</f>
        <v>0.867429405089631</v>
      </c>
      <c r="S64" s="39">
        <f t="shared" si="2"/>
        <v>1.87555392355617</v>
      </c>
      <c r="T64" s="39">
        <f t="shared" si="3"/>
        <v>47.7751031774687</v>
      </c>
      <c r="U64" s="39">
        <f t="shared" si="4"/>
        <v>8.88264002581782</v>
      </c>
      <c r="V64" s="39">
        <f t="shared" si="5"/>
        <v>33.9317023418091</v>
      </c>
      <c r="W64" s="39">
        <f t="shared" si="6"/>
        <v>1.26980001682173</v>
      </c>
      <c r="X64" s="39">
        <f t="shared" si="7"/>
        <v>6.2652005145265</v>
      </c>
      <c r="Y64" s="43"/>
      <c r="Z64" s="43">
        <v>0.182932104474155</v>
      </c>
      <c r="AA64" s="39"/>
      <c r="AB64" s="39"/>
      <c r="AC64" s="39"/>
      <c r="AD64" s="39"/>
      <c r="AE64" s="39"/>
      <c r="AF64" s="39"/>
      <c r="AG64" s="43"/>
      <c r="AH64" s="43"/>
    </row>
    <row r="65" spans="1:34">
      <c r="A65" s="39" t="s">
        <v>73</v>
      </c>
      <c r="B65" s="39"/>
      <c r="C65" s="39"/>
      <c r="D65" s="40" t="s">
        <v>72</v>
      </c>
      <c r="E65" s="36" t="s">
        <v>8</v>
      </c>
      <c r="F65" s="36">
        <v>-0.000126394523473298</v>
      </c>
      <c r="G65" s="36">
        <f t="shared" ref="G65:K65" si="131">ABS(F65)</f>
        <v>0.000126394523473298</v>
      </c>
      <c r="H65" s="39">
        <v>0.361701365461467</v>
      </c>
      <c r="I65" s="36">
        <f t="shared" si="131"/>
        <v>0.361701365461467</v>
      </c>
      <c r="J65" s="36">
        <v>0.148246821514931</v>
      </c>
      <c r="K65" s="36">
        <f t="shared" si="131"/>
        <v>0.148246821514931</v>
      </c>
      <c r="L65" s="39">
        <v>0.118154874663267</v>
      </c>
      <c r="M65" s="36">
        <f t="shared" ref="M65:Q65" si="132">ABS(L65)</f>
        <v>0.118154874663267</v>
      </c>
      <c r="N65" s="39">
        <v>-0.482719204302963</v>
      </c>
      <c r="O65" s="36">
        <f t="shared" si="132"/>
        <v>0.482719204302963</v>
      </c>
      <c r="P65" s="39">
        <v>1.16852766576847</v>
      </c>
      <c r="Q65" s="36">
        <f t="shared" si="132"/>
        <v>1.16852766576847</v>
      </c>
      <c r="R65" s="39">
        <f>G65+I65+K65+M65+O65+Q65+G66+I66+K66+M66</f>
        <v>4.30327092649532</v>
      </c>
      <c r="S65" s="39">
        <f t="shared" si="2"/>
        <v>0.00293717327196586</v>
      </c>
      <c r="T65" s="39">
        <f t="shared" si="3"/>
        <v>8.40526593932222</v>
      </c>
      <c r="U65" s="39">
        <f t="shared" si="4"/>
        <v>3.44497997098376</v>
      </c>
      <c r="V65" s="39">
        <f t="shared" si="5"/>
        <v>2.74569918281894</v>
      </c>
      <c r="W65" s="39">
        <f t="shared" si="6"/>
        <v>11.2174950763814</v>
      </c>
      <c r="X65" s="39">
        <f t="shared" si="7"/>
        <v>27.154406165176</v>
      </c>
      <c r="Y65" s="43">
        <v>0.536457583510318</v>
      </c>
      <c r="Z65" s="43">
        <v>0.540761084295317</v>
      </c>
      <c r="AA65" s="39"/>
      <c r="AB65" s="39"/>
      <c r="AC65" s="39"/>
      <c r="AD65" s="39"/>
      <c r="AE65" s="39"/>
      <c r="AF65" s="39"/>
      <c r="AG65" s="43"/>
      <c r="AH65" s="43"/>
    </row>
    <row r="66" spans="1:34">
      <c r="A66" s="39" t="s">
        <v>73</v>
      </c>
      <c r="B66" s="39"/>
      <c r="C66" s="39"/>
      <c r="D66" s="40" t="s">
        <v>72</v>
      </c>
      <c r="E66" s="36" t="s">
        <v>14</v>
      </c>
      <c r="F66" s="36">
        <v>-0.0189416111184204</v>
      </c>
      <c r="G66" s="36">
        <f t="shared" ref="G66:K66" si="133">ABS(F66)</f>
        <v>0.0189416111184204</v>
      </c>
      <c r="H66" s="39">
        <v>1.02523011507107</v>
      </c>
      <c r="I66" s="36">
        <f t="shared" si="133"/>
        <v>1.02523011507107</v>
      </c>
      <c r="J66" s="36">
        <v>-0.688398309546623</v>
      </c>
      <c r="K66" s="36">
        <f t="shared" si="133"/>
        <v>0.688398309546623</v>
      </c>
      <c r="L66" s="39">
        <v>-0.291224564524635</v>
      </c>
      <c r="M66" s="36">
        <f t="shared" ref="M66:Q66" si="134">ABS(L66)</f>
        <v>0.291224564524635</v>
      </c>
      <c r="N66" s="39">
        <v>-0.482719204302963</v>
      </c>
      <c r="O66" s="36">
        <f t="shared" si="134"/>
        <v>0.482719204302963</v>
      </c>
      <c r="P66" s="39">
        <v>0.0589968187386534</v>
      </c>
      <c r="Q66" s="36">
        <f t="shared" si="134"/>
        <v>0.0589968187386534</v>
      </c>
      <c r="R66" s="39">
        <v>4.30327092649532</v>
      </c>
      <c r="S66" s="39">
        <f t="shared" ref="S66:S129" si="135">G66/R66*100</f>
        <v>0.44016775708442</v>
      </c>
      <c r="T66" s="39">
        <f t="shared" ref="T66:T129" si="136">I66/R66*100</f>
        <v>23.8244380282615</v>
      </c>
      <c r="U66" s="39">
        <f t="shared" ref="U66:U129" si="137">K66/R66*100</f>
        <v>15.9970943337112</v>
      </c>
      <c r="V66" s="39">
        <f t="shared" ref="V66:V129" si="138">M66/R66*100</f>
        <v>6.76751637298874</v>
      </c>
      <c r="W66" s="39">
        <f t="shared" ref="W66:W129" si="139">O66/R66*100</f>
        <v>11.2174950763814</v>
      </c>
      <c r="X66" s="39">
        <f t="shared" ref="X66:X129" si="140">Q66/R66*100</f>
        <v>1.37097616548865</v>
      </c>
      <c r="Y66" s="43">
        <v>0.473415618715564</v>
      </c>
      <c r="Z66" s="43">
        <v>0.453271531475759</v>
      </c>
      <c r="AA66" s="39"/>
      <c r="AB66" s="39"/>
      <c r="AC66" s="39"/>
      <c r="AD66" s="39"/>
      <c r="AE66" s="39"/>
      <c r="AF66" s="39"/>
      <c r="AG66" s="43"/>
      <c r="AH66" s="43"/>
    </row>
    <row r="67" spans="1:34">
      <c r="A67" s="39" t="s">
        <v>73</v>
      </c>
      <c r="B67" s="35" t="s">
        <v>83</v>
      </c>
      <c r="C67" s="39"/>
      <c r="D67" s="40" t="s">
        <v>72</v>
      </c>
      <c r="E67" s="36" t="s">
        <v>15</v>
      </c>
      <c r="F67" s="36">
        <v>0.0560546311651256</v>
      </c>
      <c r="G67" s="36">
        <f t="shared" ref="G67:K67" si="141">ABS(F67)</f>
        <v>0.0560546311651256</v>
      </c>
      <c r="H67" s="39">
        <v>0.0357201612567079</v>
      </c>
      <c r="I67" s="36">
        <f t="shared" si="141"/>
        <v>0.0357201612567079</v>
      </c>
      <c r="J67" s="36">
        <v>0.367070587067761</v>
      </c>
      <c r="K67" s="36">
        <f t="shared" si="141"/>
        <v>0.367070587067761</v>
      </c>
      <c r="L67" s="39">
        <v>0.056376437053572</v>
      </c>
      <c r="M67" s="36">
        <f t="shared" ref="M67:Q67" si="142">ABS(L67)</f>
        <v>0.056376437053572</v>
      </c>
      <c r="N67" s="39">
        <v>0.0689373871174409</v>
      </c>
      <c r="O67" s="36">
        <f t="shared" si="142"/>
        <v>0.0689373871174409</v>
      </c>
      <c r="P67" s="39">
        <v>0.273572350499517</v>
      </c>
      <c r="Q67" s="36">
        <f t="shared" si="142"/>
        <v>0.273572350499517</v>
      </c>
      <c r="R67" s="39">
        <f>G67+I67+K67+M67+O67+Q67</f>
        <v>0.857731554160124</v>
      </c>
      <c r="S67" s="39">
        <f t="shared" si="135"/>
        <v>6.53521849502357</v>
      </c>
      <c r="T67" s="39">
        <f t="shared" si="136"/>
        <v>4.16449191864982</v>
      </c>
      <c r="U67" s="39">
        <f t="shared" si="137"/>
        <v>42.7955093044455</v>
      </c>
      <c r="V67" s="39">
        <f t="shared" si="138"/>
        <v>6.5727367473119</v>
      </c>
      <c r="W67" s="39">
        <f t="shared" si="139"/>
        <v>8.03717512584029</v>
      </c>
      <c r="X67" s="39">
        <f t="shared" si="140"/>
        <v>31.8948684087289</v>
      </c>
      <c r="Y67" s="43">
        <v>0.543764618774713</v>
      </c>
      <c r="Z67" s="43">
        <v>0.50114216935665</v>
      </c>
      <c r="AA67" s="39"/>
      <c r="AB67" s="39"/>
      <c r="AC67" s="39"/>
      <c r="AD67" s="39"/>
      <c r="AE67" s="39"/>
      <c r="AF67" s="39"/>
      <c r="AG67" s="43"/>
      <c r="AH67" s="43"/>
    </row>
    <row r="68" spans="1:34">
      <c r="A68" s="35" t="s">
        <v>37</v>
      </c>
      <c r="B68" s="39"/>
      <c r="C68" s="39"/>
      <c r="D68" s="40" t="s">
        <v>72</v>
      </c>
      <c r="E68" s="36" t="s">
        <v>8</v>
      </c>
      <c r="F68" s="36">
        <v>-0.0953756448732823</v>
      </c>
      <c r="G68" s="36">
        <f t="shared" ref="G68:K68" si="143">ABS(F68)</f>
        <v>0.0953756448732823</v>
      </c>
      <c r="H68" s="39">
        <v>-0.0495949815767645</v>
      </c>
      <c r="I68" s="36">
        <f t="shared" si="143"/>
        <v>0.0495949815767645</v>
      </c>
      <c r="J68" s="36">
        <v>0.00637306437894618</v>
      </c>
      <c r="K68" s="36">
        <f t="shared" si="143"/>
        <v>0.00637306437894618</v>
      </c>
      <c r="L68" s="39">
        <v>-0.111678991513672</v>
      </c>
      <c r="M68" s="36">
        <f t="shared" ref="M68:Q68" si="144">ABS(L68)</f>
        <v>0.111678991513672</v>
      </c>
      <c r="N68" s="39">
        <v>0.0211960329240551</v>
      </c>
      <c r="O68" s="36">
        <f t="shared" si="144"/>
        <v>0.0211960329240551</v>
      </c>
      <c r="P68" s="39">
        <v>0.253228936213856</v>
      </c>
      <c r="Q68" s="36">
        <f t="shared" si="144"/>
        <v>0.253228936213856</v>
      </c>
      <c r="R68" s="39">
        <f>G68+I68+K68+M68+O68+Q68+G69+I69+K69+M69</f>
        <v>0.723162217725345</v>
      </c>
      <c r="S68" s="39">
        <f t="shared" si="135"/>
        <v>13.1886930118224</v>
      </c>
      <c r="T68" s="39">
        <f t="shared" si="136"/>
        <v>6.85807144803029</v>
      </c>
      <c r="U68" s="39">
        <f t="shared" si="137"/>
        <v>0.881277287825158</v>
      </c>
      <c r="V68" s="39">
        <f t="shared" si="138"/>
        <v>15.4431452274913</v>
      </c>
      <c r="W68" s="39">
        <f t="shared" si="139"/>
        <v>2.93102051027026</v>
      </c>
      <c r="X68" s="39">
        <f t="shared" si="140"/>
        <v>35.0168924768179</v>
      </c>
      <c r="Y68" s="43"/>
      <c r="Z68" s="43">
        <v>0.407458620434107</v>
      </c>
      <c r="AA68" s="39"/>
      <c r="AB68" s="39"/>
      <c r="AC68" s="39"/>
      <c r="AD68" s="39"/>
      <c r="AE68" s="39"/>
      <c r="AF68" s="39"/>
      <c r="AG68" s="43"/>
      <c r="AH68" s="43"/>
    </row>
    <row r="69" spans="1:34">
      <c r="A69" s="35" t="s">
        <v>37</v>
      </c>
      <c r="B69" s="39"/>
      <c r="C69" s="39"/>
      <c r="D69" s="40" t="s">
        <v>72</v>
      </c>
      <c r="E69" s="36" t="s">
        <v>14</v>
      </c>
      <c r="F69" s="36">
        <v>0.0398070476694245</v>
      </c>
      <c r="G69" s="36">
        <f t="shared" ref="G69:K69" si="145">ABS(F69)</f>
        <v>0.0398070476694245</v>
      </c>
      <c r="H69" s="39">
        <v>-0.029167415977707</v>
      </c>
      <c r="I69" s="36">
        <f t="shared" si="145"/>
        <v>0.029167415977707</v>
      </c>
      <c r="J69" s="36">
        <v>0.0251148533196266</v>
      </c>
      <c r="K69" s="36">
        <f t="shared" si="145"/>
        <v>0.0251148533196266</v>
      </c>
      <c r="L69" s="39">
        <v>-0.0916252492780105</v>
      </c>
      <c r="M69" s="36">
        <f t="shared" ref="M69:Q69" si="146">ABS(L69)</f>
        <v>0.0916252492780105</v>
      </c>
      <c r="N69" s="39">
        <v>0.0211960329240551</v>
      </c>
      <c r="O69" s="36">
        <f t="shared" si="146"/>
        <v>0.0211960329240551</v>
      </c>
      <c r="P69" s="39">
        <v>0.0583060882807772</v>
      </c>
      <c r="Q69" s="36">
        <f t="shared" si="146"/>
        <v>0.0583060882807772</v>
      </c>
      <c r="R69" s="39">
        <v>0.723162217725346</v>
      </c>
      <c r="S69" s="39">
        <f t="shared" si="135"/>
        <v>5.50458067273407</v>
      </c>
      <c r="T69" s="39">
        <f t="shared" si="136"/>
        <v>4.03331579869465</v>
      </c>
      <c r="U69" s="39">
        <f t="shared" si="137"/>
        <v>3.47292111009664</v>
      </c>
      <c r="V69" s="39">
        <f t="shared" si="138"/>
        <v>12.6700824562172</v>
      </c>
      <c r="W69" s="39">
        <f t="shared" si="139"/>
        <v>2.93102051027025</v>
      </c>
      <c r="X69" s="39">
        <f t="shared" si="140"/>
        <v>8.0626568772045</v>
      </c>
      <c r="Y69" s="43"/>
      <c r="Z69" s="43">
        <v>0.298768799941029</v>
      </c>
      <c r="AA69" s="39"/>
      <c r="AB69" s="39"/>
      <c r="AC69" s="39"/>
      <c r="AD69" s="39"/>
      <c r="AE69" s="39"/>
      <c r="AF69" s="39"/>
      <c r="AG69" s="43"/>
      <c r="AH69" s="43"/>
    </row>
    <row r="70" spans="1:34">
      <c r="A70" s="35" t="s">
        <v>37</v>
      </c>
      <c r="B70" s="35" t="s">
        <v>82</v>
      </c>
      <c r="C70" s="39"/>
      <c r="D70" s="40" t="s">
        <v>72</v>
      </c>
      <c r="E70" s="36" t="s">
        <v>15</v>
      </c>
      <c r="F70" s="36">
        <v>-0.0177605326069957</v>
      </c>
      <c r="G70" s="36">
        <f t="shared" ref="G70:K70" si="147">ABS(F70)</f>
        <v>0.0177605326069957</v>
      </c>
      <c r="H70" s="39">
        <v>-0.189196710014245</v>
      </c>
      <c r="I70" s="36">
        <f t="shared" si="147"/>
        <v>0.189196710014245</v>
      </c>
      <c r="J70" s="36">
        <v>-0.092372712429641</v>
      </c>
      <c r="K70" s="36">
        <f t="shared" si="147"/>
        <v>0.092372712429641</v>
      </c>
      <c r="L70" s="39">
        <v>-0.377090611568991</v>
      </c>
      <c r="M70" s="36">
        <f t="shared" ref="M70:Q70" si="148">ABS(L70)</f>
        <v>0.377090611568991</v>
      </c>
      <c r="N70" s="39">
        <v>0.0733923391046523</v>
      </c>
      <c r="O70" s="36">
        <f t="shared" si="148"/>
        <v>0.0733923391046523</v>
      </c>
      <c r="P70" s="39">
        <v>0.592501911725746</v>
      </c>
      <c r="Q70" s="36">
        <f t="shared" si="148"/>
        <v>0.592501911725746</v>
      </c>
      <c r="R70" s="39">
        <f>G70+I70+K70+M70+O70+Q70</f>
        <v>1.34231481745027</v>
      </c>
      <c r="S70" s="39">
        <f t="shared" si="135"/>
        <v>1.32312721100195</v>
      </c>
      <c r="T70" s="39">
        <f t="shared" si="136"/>
        <v>14.0948090235363</v>
      </c>
      <c r="U70" s="39">
        <f t="shared" si="137"/>
        <v>6.88159820846671</v>
      </c>
      <c r="V70" s="39">
        <f t="shared" si="138"/>
        <v>28.0925611985179</v>
      </c>
      <c r="W70" s="39">
        <f t="shared" si="139"/>
        <v>5.46759509397811</v>
      </c>
      <c r="X70" s="39">
        <f t="shared" si="140"/>
        <v>44.1403092644991</v>
      </c>
      <c r="Y70" s="43"/>
      <c r="Z70" s="43">
        <v>0.452931522894145</v>
      </c>
      <c r="AA70" s="39"/>
      <c r="AB70" s="39"/>
      <c r="AC70" s="39"/>
      <c r="AD70" s="39"/>
      <c r="AE70" s="39"/>
      <c r="AF70" s="39"/>
      <c r="AG70" s="43"/>
      <c r="AH70" s="43"/>
    </row>
    <row r="71" spans="1:34">
      <c r="A71" s="35" t="s">
        <v>38</v>
      </c>
      <c r="B71" s="39"/>
      <c r="C71" s="39"/>
      <c r="D71" s="40" t="s">
        <v>72</v>
      </c>
      <c r="E71" s="36" t="s">
        <v>8</v>
      </c>
      <c r="F71" s="36">
        <v>-0.0718531390339772</v>
      </c>
      <c r="G71" s="36">
        <f t="shared" ref="G71:K71" si="149">ABS(F71)</f>
        <v>0.0718531390339772</v>
      </c>
      <c r="H71" s="39">
        <v>0.0296888970129582</v>
      </c>
      <c r="I71" s="36">
        <f t="shared" si="149"/>
        <v>0.0296888970129582</v>
      </c>
      <c r="J71" s="36">
        <v>0.131828116653307</v>
      </c>
      <c r="K71" s="36">
        <f t="shared" si="149"/>
        <v>0.131828116653307</v>
      </c>
      <c r="L71" s="39">
        <v>-0.0344578298444323</v>
      </c>
      <c r="M71" s="36">
        <f t="shared" ref="M71:Q71" si="150">ABS(L71)</f>
        <v>0.0344578298444323</v>
      </c>
      <c r="N71" s="39">
        <v>-0.0699871940294617</v>
      </c>
      <c r="O71" s="36">
        <f t="shared" si="150"/>
        <v>0.0699871940294617</v>
      </c>
      <c r="P71" s="39">
        <v>0.20420349799644</v>
      </c>
      <c r="Q71" s="36">
        <f t="shared" si="150"/>
        <v>0.20420349799644</v>
      </c>
      <c r="R71" s="39">
        <f>G71+I71+K71+M71+O71+Q71+G72+I72+K72+M72</f>
        <v>0.824429371203054</v>
      </c>
      <c r="S71" s="39">
        <f t="shared" si="135"/>
        <v>8.71549965876702</v>
      </c>
      <c r="T71" s="39">
        <f t="shared" si="136"/>
        <v>3.60114499191538</v>
      </c>
      <c r="U71" s="39">
        <f t="shared" si="137"/>
        <v>15.990225634603</v>
      </c>
      <c r="V71" s="39">
        <f t="shared" si="138"/>
        <v>4.17959755535511</v>
      </c>
      <c r="W71" s="39">
        <f t="shared" si="139"/>
        <v>8.48916795957093</v>
      </c>
      <c r="X71" s="39">
        <f t="shared" si="140"/>
        <v>24.7690712059973</v>
      </c>
      <c r="Y71" s="43"/>
      <c r="Z71" s="43">
        <v>0.320285559422694</v>
      </c>
      <c r="AA71" s="39"/>
      <c r="AB71" s="39"/>
      <c r="AC71" s="39"/>
      <c r="AD71" s="39"/>
      <c r="AE71" s="39"/>
      <c r="AF71" s="39"/>
      <c r="AG71" s="43"/>
      <c r="AH71" s="43"/>
    </row>
    <row r="72" spans="1:34">
      <c r="A72" s="35" t="s">
        <v>38</v>
      </c>
      <c r="B72" s="39"/>
      <c r="C72" s="39"/>
      <c r="D72" s="40" t="s">
        <v>72</v>
      </c>
      <c r="E72" s="36" t="s">
        <v>14</v>
      </c>
      <c r="F72" s="36">
        <v>-0.0414153404408604</v>
      </c>
      <c r="G72" s="36">
        <f t="shared" ref="G72:K72" si="151">ABS(F72)</f>
        <v>0.0414153404408604</v>
      </c>
      <c r="H72" s="39">
        <v>0.0437684727079384</v>
      </c>
      <c r="I72" s="36">
        <f t="shared" si="151"/>
        <v>0.0437684727079384</v>
      </c>
      <c r="J72" s="36">
        <v>-0.00703218159479943</v>
      </c>
      <c r="K72" s="36">
        <f t="shared" si="151"/>
        <v>0.00703218159479943</v>
      </c>
      <c r="L72" s="39">
        <v>-0.190194701888879</v>
      </c>
      <c r="M72" s="36">
        <f t="shared" ref="M72:Q72" si="152">ABS(L72)</f>
        <v>0.190194701888879</v>
      </c>
      <c r="N72" s="39">
        <v>-0.0699871940294617</v>
      </c>
      <c r="O72" s="36">
        <f t="shared" si="152"/>
        <v>0.0699871940294617</v>
      </c>
      <c r="P72" s="39">
        <v>-0.00772584762704454</v>
      </c>
      <c r="Q72" s="36">
        <f t="shared" si="152"/>
        <v>0.00772584762704454</v>
      </c>
      <c r="R72" s="39">
        <v>0.824429371203053</v>
      </c>
      <c r="S72" s="39">
        <f t="shared" si="135"/>
        <v>5.02351588716749</v>
      </c>
      <c r="T72" s="39">
        <f t="shared" si="136"/>
        <v>5.30894146142186</v>
      </c>
      <c r="U72" s="39">
        <f t="shared" si="137"/>
        <v>0.852975626588568</v>
      </c>
      <c r="V72" s="39">
        <f t="shared" si="138"/>
        <v>23.0698600186134</v>
      </c>
      <c r="W72" s="39">
        <f t="shared" si="139"/>
        <v>8.48916795957093</v>
      </c>
      <c r="X72" s="39">
        <f t="shared" si="140"/>
        <v>0.937114554248662</v>
      </c>
      <c r="Y72" s="43"/>
      <c r="Z72" s="43">
        <v>0.25240809078152</v>
      </c>
      <c r="AA72" s="39"/>
      <c r="AB72" s="39"/>
      <c r="AC72" s="39"/>
      <c r="AD72" s="39"/>
      <c r="AE72" s="39"/>
      <c r="AF72" s="39"/>
      <c r="AG72" s="43"/>
      <c r="AH72" s="43"/>
    </row>
    <row r="73" spans="1:34">
      <c r="A73" s="35" t="s">
        <v>38</v>
      </c>
      <c r="B73" s="35" t="s">
        <v>82</v>
      </c>
      <c r="C73" s="39"/>
      <c r="D73" s="40" t="s">
        <v>72</v>
      </c>
      <c r="E73" s="36" t="s">
        <v>15</v>
      </c>
      <c r="F73" s="36">
        <v>-0.0461583582217251</v>
      </c>
      <c r="G73" s="36">
        <f t="shared" ref="G73:K73" si="153">ABS(F73)</f>
        <v>0.0461583582217251</v>
      </c>
      <c r="H73" s="39">
        <v>-0.232185933420646</v>
      </c>
      <c r="I73" s="36">
        <f t="shared" si="153"/>
        <v>0.232185933420646</v>
      </c>
      <c r="J73" s="36">
        <v>-0.216134984428048</v>
      </c>
      <c r="K73" s="36">
        <f t="shared" si="153"/>
        <v>0.216134984428048</v>
      </c>
      <c r="L73" s="39">
        <v>-0.437714528450065</v>
      </c>
      <c r="M73" s="36">
        <f t="shared" ref="M73:Q73" si="154">ABS(L73)</f>
        <v>0.437714528450065</v>
      </c>
      <c r="N73" s="39">
        <v>0.00870729179237264</v>
      </c>
      <c r="O73" s="36">
        <f t="shared" si="154"/>
        <v>0.00870729179237264</v>
      </c>
      <c r="P73" s="39">
        <v>0.848047916236884</v>
      </c>
      <c r="Q73" s="36">
        <f t="shared" si="154"/>
        <v>0.848047916236884</v>
      </c>
      <c r="R73" s="39">
        <f>G73+I73+K73+M73+O73+Q73</f>
        <v>1.78894901254974</v>
      </c>
      <c r="S73" s="39">
        <f t="shared" si="135"/>
        <v>2.58019417534639</v>
      </c>
      <c r="T73" s="39">
        <f t="shared" si="136"/>
        <v>12.9789016786855</v>
      </c>
      <c r="U73" s="39">
        <f t="shared" si="137"/>
        <v>12.0816738158455</v>
      </c>
      <c r="V73" s="39">
        <f t="shared" si="138"/>
        <v>24.4676916658571</v>
      </c>
      <c r="W73" s="39">
        <f t="shared" si="139"/>
        <v>0.486726660809766</v>
      </c>
      <c r="X73" s="39">
        <f t="shared" si="140"/>
        <v>47.4048120034558</v>
      </c>
      <c r="Y73" s="43"/>
      <c r="Z73" s="43">
        <v>0.41557002404252</v>
      </c>
      <c r="AA73" s="39"/>
      <c r="AB73" s="39"/>
      <c r="AC73" s="39"/>
      <c r="AD73" s="39"/>
      <c r="AE73" s="39"/>
      <c r="AF73" s="39"/>
      <c r="AG73" s="43"/>
      <c r="AH73" s="43"/>
    </row>
    <row r="74" spans="1:34">
      <c r="A74" s="35" t="s">
        <v>39</v>
      </c>
      <c r="B74" s="39"/>
      <c r="C74" s="39"/>
      <c r="D74" s="40" t="s">
        <v>72</v>
      </c>
      <c r="E74" s="36" t="s">
        <v>8</v>
      </c>
      <c r="F74" s="36">
        <v>-0.0518916314201652</v>
      </c>
      <c r="G74" s="36">
        <f t="shared" ref="G74:K74" si="155">ABS(F74)</f>
        <v>0.0518916314201652</v>
      </c>
      <c r="H74" s="39">
        <v>-0.185519809988365</v>
      </c>
      <c r="I74" s="36">
        <f t="shared" si="155"/>
        <v>0.185519809988365</v>
      </c>
      <c r="J74" s="36">
        <v>-0.0255036770535169</v>
      </c>
      <c r="K74" s="36">
        <f t="shared" si="155"/>
        <v>0.0255036770535169</v>
      </c>
      <c r="L74" s="39">
        <v>-0.326296023221128</v>
      </c>
      <c r="M74" s="36">
        <f t="shared" ref="M74:Q74" si="156">ABS(L74)</f>
        <v>0.326296023221128</v>
      </c>
      <c r="N74" s="39">
        <v>-0.00443440695943792</v>
      </c>
      <c r="O74" s="36">
        <f t="shared" si="156"/>
        <v>0.00443440695943792</v>
      </c>
      <c r="P74" s="39">
        <v>0.717456743217195</v>
      </c>
      <c r="Q74" s="36">
        <f t="shared" si="156"/>
        <v>0.717456743217195</v>
      </c>
      <c r="R74" s="39">
        <f>G74+I74+K74+M74+O74+Q74+G75+I75+K75+M75</f>
        <v>1.49769166022495</v>
      </c>
      <c r="S74" s="39">
        <f t="shared" si="135"/>
        <v>3.46477401178632</v>
      </c>
      <c r="T74" s="39">
        <f t="shared" si="136"/>
        <v>12.3870496788705</v>
      </c>
      <c r="U74" s="39">
        <f t="shared" si="137"/>
        <v>1.70286566526559</v>
      </c>
      <c r="V74" s="39">
        <f t="shared" si="138"/>
        <v>21.7865954579809</v>
      </c>
      <c r="W74" s="39">
        <f t="shared" si="139"/>
        <v>0.296082770386254</v>
      </c>
      <c r="X74" s="39">
        <f t="shared" si="140"/>
        <v>47.9041689468601</v>
      </c>
      <c r="Y74" s="43"/>
      <c r="Z74" s="39">
        <v>0.831041705948634</v>
      </c>
      <c r="AA74" s="39"/>
      <c r="AB74" s="39"/>
      <c r="AC74" s="39"/>
      <c r="AD74" s="39"/>
      <c r="AE74" s="39"/>
      <c r="AF74" s="39"/>
      <c r="AG74" s="43"/>
      <c r="AH74" s="43"/>
    </row>
    <row r="75" spans="1:34">
      <c r="A75" s="35" t="s">
        <v>39</v>
      </c>
      <c r="B75" s="39"/>
      <c r="C75" s="39"/>
      <c r="D75" s="40" t="s">
        <v>72</v>
      </c>
      <c r="E75" s="36" t="s">
        <v>14</v>
      </c>
      <c r="F75" s="36">
        <v>-0.0378167557751462</v>
      </c>
      <c r="G75" s="36">
        <f t="shared" ref="G75:K75" si="157">ABS(F75)</f>
        <v>0.0378167557751462</v>
      </c>
      <c r="H75" s="39">
        <v>0.0656856310728098</v>
      </c>
      <c r="I75" s="36">
        <f t="shared" si="157"/>
        <v>0.0656856310728098</v>
      </c>
      <c r="J75" s="36">
        <v>-0.0469845040331793</v>
      </c>
      <c r="K75" s="36">
        <f t="shared" si="157"/>
        <v>0.0469845040331793</v>
      </c>
      <c r="L75" s="39">
        <v>0.0361024774840083</v>
      </c>
      <c r="M75" s="36">
        <f t="shared" ref="M75:Q75" si="158">ABS(L75)</f>
        <v>0.0361024774840083</v>
      </c>
      <c r="N75" s="39">
        <v>-0.00443440695943792</v>
      </c>
      <c r="O75" s="36">
        <f t="shared" si="158"/>
        <v>0.00443440695943792</v>
      </c>
      <c r="P75" s="39">
        <v>0.716310711114471</v>
      </c>
      <c r="Q75" s="36">
        <f t="shared" si="158"/>
        <v>0.716310711114471</v>
      </c>
      <c r="R75" s="39">
        <v>1.49769166022495</v>
      </c>
      <c r="S75" s="39">
        <f t="shared" si="135"/>
        <v>2.52500276121363</v>
      </c>
      <c r="T75" s="39">
        <f t="shared" si="136"/>
        <v>4.38579133591116</v>
      </c>
      <c r="U75" s="39">
        <f t="shared" si="137"/>
        <v>3.13712797373275</v>
      </c>
      <c r="V75" s="39">
        <f t="shared" si="138"/>
        <v>2.41054139799281</v>
      </c>
      <c r="W75" s="39">
        <f t="shared" si="139"/>
        <v>0.296082770386254</v>
      </c>
      <c r="X75" s="39">
        <f t="shared" si="140"/>
        <v>47.827649050732</v>
      </c>
      <c r="Y75" s="43"/>
      <c r="Z75" s="39">
        <v>0.721403736174847</v>
      </c>
      <c r="AA75" s="39"/>
      <c r="AB75" s="39"/>
      <c r="AC75" s="39"/>
      <c r="AD75" s="39"/>
      <c r="AE75" s="39"/>
      <c r="AF75" s="39"/>
      <c r="AG75" s="43"/>
      <c r="AH75" s="43"/>
    </row>
    <row r="76" spans="1:34">
      <c r="A76" s="35" t="s">
        <v>39</v>
      </c>
      <c r="B76" s="35" t="s">
        <v>83</v>
      </c>
      <c r="C76" s="39"/>
      <c r="D76" s="40" t="s">
        <v>72</v>
      </c>
      <c r="E76" s="36" t="s">
        <v>15</v>
      </c>
      <c r="F76" s="36">
        <v>-0.00540550771011394</v>
      </c>
      <c r="G76" s="36">
        <f t="shared" ref="G76:K76" si="159">ABS(F76)</f>
        <v>0.00540550771011394</v>
      </c>
      <c r="H76" s="39">
        <v>-0.158038032994296</v>
      </c>
      <c r="I76" s="36">
        <f t="shared" si="159"/>
        <v>0.158038032994296</v>
      </c>
      <c r="J76" s="36">
        <v>-0.000293223944525471</v>
      </c>
      <c r="K76" s="36">
        <f t="shared" si="159"/>
        <v>0.000293223944525471</v>
      </c>
      <c r="L76" s="39">
        <v>-0.0944590404282556</v>
      </c>
      <c r="M76" s="36">
        <f t="shared" ref="M76:Q76" si="160">ABS(L76)</f>
        <v>0.0944590404282556</v>
      </c>
      <c r="N76" s="39">
        <v>-0.00152830452463932</v>
      </c>
      <c r="O76" s="36">
        <f t="shared" si="160"/>
        <v>0.00152830452463932</v>
      </c>
      <c r="P76" s="39">
        <v>0.396087745965466</v>
      </c>
      <c r="Q76" s="36">
        <f t="shared" si="160"/>
        <v>0.396087745965466</v>
      </c>
      <c r="R76" s="39">
        <f>G76+I76+K76+M76+O76+Q76</f>
        <v>0.655811855567296</v>
      </c>
      <c r="S76" s="39">
        <f t="shared" si="135"/>
        <v>0.824246720187457</v>
      </c>
      <c r="T76" s="39">
        <f t="shared" si="136"/>
        <v>24.0980750275685</v>
      </c>
      <c r="U76" s="39">
        <f t="shared" si="137"/>
        <v>0.0447115955645272</v>
      </c>
      <c r="V76" s="39">
        <f t="shared" si="138"/>
        <v>14.4033749354143</v>
      </c>
      <c r="W76" s="39">
        <f t="shared" si="139"/>
        <v>0.233040087894918</v>
      </c>
      <c r="X76" s="39">
        <f t="shared" si="140"/>
        <v>60.3965516333703</v>
      </c>
      <c r="Y76" s="43"/>
      <c r="Z76" s="39">
        <v>0.883900701439005</v>
      </c>
      <c r="AA76" s="39"/>
      <c r="AB76" s="39"/>
      <c r="AC76" s="39"/>
      <c r="AD76" s="39"/>
      <c r="AE76" s="39"/>
      <c r="AF76" s="39"/>
      <c r="AG76" s="43"/>
      <c r="AH76" s="43"/>
    </row>
    <row r="77" spans="1:34">
      <c r="A77" s="35" t="s">
        <v>40</v>
      </c>
      <c r="B77" s="39"/>
      <c r="C77" s="39"/>
      <c r="D77" s="40" t="s">
        <v>72</v>
      </c>
      <c r="E77" s="36" t="s">
        <v>8</v>
      </c>
      <c r="F77" s="36">
        <v>-0.0470930019163387</v>
      </c>
      <c r="G77" s="36">
        <f t="shared" ref="G77:K77" si="161">ABS(F77)</f>
        <v>0.0470930019163387</v>
      </c>
      <c r="H77" s="39">
        <v>1.89145543063683</v>
      </c>
      <c r="I77" s="36">
        <f t="shared" si="161"/>
        <v>1.89145543063683</v>
      </c>
      <c r="J77" s="36">
        <v>0.0918358917262031</v>
      </c>
      <c r="K77" s="36">
        <f t="shared" si="161"/>
        <v>0.0918358917262031</v>
      </c>
      <c r="L77" s="39">
        <v>0.343204215339163</v>
      </c>
      <c r="M77" s="36">
        <f t="shared" ref="M77:Q77" si="162">ABS(L77)</f>
        <v>0.343204215339163</v>
      </c>
      <c r="N77" s="39">
        <v>-0.000713461178097187</v>
      </c>
      <c r="O77" s="36">
        <f t="shared" si="162"/>
        <v>0.000713461178097187</v>
      </c>
      <c r="P77" s="39">
        <v>-1.37168389058188</v>
      </c>
      <c r="Q77" s="36">
        <f t="shared" si="162"/>
        <v>1.37168389058188</v>
      </c>
      <c r="R77" s="39">
        <f>G77+I77+K77+M77+O77+Q77+G78+I78+K78+M78</f>
        <v>4.34099850200583</v>
      </c>
      <c r="S77" s="39">
        <f t="shared" si="135"/>
        <v>1.08484262076061</v>
      </c>
      <c r="T77" s="39">
        <f t="shared" si="136"/>
        <v>43.5718977963907</v>
      </c>
      <c r="U77" s="39">
        <f t="shared" si="137"/>
        <v>2.11554764839861</v>
      </c>
      <c r="V77" s="39">
        <f t="shared" si="138"/>
        <v>7.90611227303073</v>
      </c>
      <c r="W77" s="39">
        <f t="shared" si="139"/>
        <v>0.0164354163625609</v>
      </c>
      <c r="X77" s="39">
        <f t="shared" si="140"/>
        <v>31.59834977939</v>
      </c>
      <c r="Y77" s="43"/>
      <c r="Z77" s="39">
        <v>0.499713137619734</v>
      </c>
      <c r="AA77" s="39"/>
      <c r="AB77" s="39"/>
      <c r="AC77" s="39"/>
      <c r="AD77" s="39"/>
      <c r="AE77" s="39"/>
      <c r="AF77" s="39"/>
      <c r="AG77" s="43"/>
      <c r="AH77" s="43"/>
    </row>
    <row r="78" spans="1:34">
      <c r="A78" s="35" t="s">
        <v>40</v>
      </c>
      <c r="B78" s="39"/>
      <c r="C78" s="39"/>
      <c r="D78" s="40" t="s">
        <v>72</v>
      </c>
      <c r="E78" s="36" t="s">
        <v>14</v>
      </c>
      <c r="F78" s="36">
        <v>-0.00974307582845927</v>
      </c>
      <c r="G78" s="36">
        <f t="shared" ref="G78:K78" si="163">ABS(F78)</f>
        <v>0.00974307582845927</v>
      </c>
      <c r="H78" s="39">
        <v>0.255833114468861</v>
      </c>
      <c r="I78" s="36">
        <f t="shared" si="163"/>
        <v>0.255833114468861</v>
      </c>
      <c r="J78" s="36">
        <v>0.209022384418074</v>
      </c>
      <c r="K78" s="36">
        <f t="shared" si="163"/>
        <v>0.209022384418074</v>
      </c>
      <c r="L78" s="39">
        <v>0.12041403591192</v>
      </c>
      <c r="M78" s="36">
        <f t="shared" ref="M78:Q78" si="164">ABS(L78)</f>
        <v>0.12041403591192</v>
      </c>
      <c r="N78" s="39">
        <v>-0.000713461178097187</v>
      </c>
      <c r="O78" s="36">
        <f t="shared" si="164"/>
        <v>0.000713461178097187</v>
      </c>
      <c r="P78" s="39">
        <v>-1.92636035098806</v>
      </c>
      <c r="Q78" s="36">
        <f t="shared" si="164"/>
        <v>1.92636035098806</v>
      </c>
      <c r="R78" s="39">
        <v>4.34099850200583</v>
      </c>
      <c r="S78" s="39">
        <f t="shared" si="135"/>
        <v>0.224443197203531</v>
      </c>
      <c r="T78" s="39">
        <f t="shared" si="136"/>
        <v>5.89341632692684</v>
      </c>
      <c r="U78" s="39">
        <f t="shared" si="137"/>
        <v>4.81507617018278</v>
      </c>
      <c r="V78" s="39">
        <f t="shared" si="138"/>
        <v>2.77387877135366</v>
      </c>
      <c r="W78" s="39">
        <f t="shared" si="139"/>
        <v>0.0164354163625608</v>
      </c>
      <c r="X78" s="39">
        <f t="shared" si="140"/>
        <v>44.3759736405795</v>
      </c>
      <c r="Y78" s="43"/>
      <c r="Z78" s="39">
        <v>0.787227171464533</v>
      </c>
      <c r="AA78" s="39"/>
      <c r="AB78" s="39"/>
      <c r="AC78" s="39"/>
      <c r="AD78" s="39"/>
      <c r="AE78" s="39"/>
      <c r="AF78" s="39"/>
      <c r="AG78" s="43"/>
      <c r="AH78" s="43"/>
    </row>
    <row r="79" spans="1:34">
      <c r="A79" s="35" t="s">
        <v>40</v>
      </c>
      <c r="B79" s="35" t="s">
        <v>82</v>
      </c>
      <c r="C79" s="39"/>
      <c r="D79" s="40" t="s">
        <v>72</v>
      </c>
      <c r="E79" s="36" t="s">
        <v>15</v>
      </c>
      <c r="F79" s="36">
        <v>0.0197525814135949</v>
      </c>
      <c r="G79" s="36">
        <f t="shared" ref="G79:K79" si="165">ABS(F79)</f>
        <v>0.0197525814135949</v>
      </c>
      <c r="H79" s="39">
        <v>1.81868539525719</v>
      </c>
      <c r="I79" s="36">
        <f t="shared" si="165"/>
        <v>1.81868539525719</v>
      </c>
      <c r="J79" s="36">
        <v>0.132173140990308</v>
      </c>
      <c r="K79" s="36">
        <f t="shared" si="165"/>
        <v>0.132173140990308</v>
      </c>
      <c r="L79" s="39">
        <v>0.0222109790728527</v>
      </c>
      <c r="M79" s="36">
        <f t="shared" ref="M79:Q79" si="166">ABS(L79)</f>
        <v>0.0222109790728527</v>
      </c>
      <c r="N79" s="39">
        <v>0.51030357694662</v>
      </c>
      <c r="O79" s="36">
        <f t="shared" si="166"/>
        <v>0.51030357694662</v>
      </c>
      <c r="P79" s="39">
        <v>-1.02130749186239</v>
      </c>
      <c r="Q79" s="36">
        <f t="shared" si="166"/>
        <v>1.02130749186239</v>
      </c>
      <c r="R79" s="39">
        <f>G79+I79+K79+M79+O79+Q79</f>
        <v>3.52443316554296</v>
      </c>
      <c r="S79" s="39">
        <f t="shared" si="135"/>
        <v>0.560447041717471</v>
      </c>
      <c r="T79" s="39">
        <f t="shared" si="136"/>
        <v>51.6022097691562</v>
      </c>
      <c r="U79" s="39">
        <f t="shared" si="137"/>
        <v>3.75019569905636</v>
      </c>
      <c r="V79" s="39">
        <f t="shared" si="138"/>
        <v>0.630200035852602</v>
      </c>
      <c r="W79" s="39">
        <f t="shared" si="139"/>
        <v>14.4790255050277</v>
      </c>
      <c r="X79" s="39">
        <f t="shared" si="140"/>
        <v>28.9779219491896</v>
      </c>
      <c r="Y79" s="43"/>
      <c r="Z79" s="39">
        <v>0.91697850321344</v>
      </c>
      <c r="AA79" s="39"/>
      <c r="AB79" s="39"/>
      <c r="AC79" s="39"/>
      <c r="AD79" s="39"/>
      <c r="AE79" s="39"/>
      <c r="AF79" s="39"/>
      <c r="AG79" s="43"/>
      <c r="AH79" s="43"/>
    </row>
    <row r="80" spans="1:34">
      <c r="A80" s="35" t="s">
        <v>41</v>
      </c>
      <c r="B80" s="39"/>
      <c r="C80" s="39"/>
      <c r="D80" s="40" t="s">
        <v>72</v>
      </c>
      <c r="E80" s="36" t="s">
        <v>8</v>
      </c>
      <c r="F80" s="36">
        <v>-0.0835138119547816</v>
      </c>
      <c r="G80" s="36">
        <f t="shared" ref="G80:K80" si="167">ABS(F80)</f>
        <v>0.0835138119547816</v>
      </c>
      <c r="H80" s="39">
        <v>-0.222282527738436</v>
      </c>
      <c r="I80" s="36">
        <f t="shared" si="167"/>
        <v>0.222282527738436</v>
      </c>
      <c r="J80" s="36">
        <v>-0.0144389599114731</v>
      </c>
      <c r="K80" s="36">
        <f t="shared" si="167"/>
        <v>0.0144389599114731</v>
      </c>
      <c r="L80" s="39">
        <v>-0.517618249235645</v>
      </c>
      <c r="M80" s="36">
        <f t="shared" ref="M80:Q80" si="168">ABS(L80)</f>
        <v>0.517618249235645</v>
      </c>
      <c r="N80" s="39">
        <v>0.0153408814306083</v>
      </c>
      <c r="O80" s="36">
        <f t="shared" si="168"/>
        <v>0.0153408814306083</v>
      </c>
      <c r="P80" s="39">
        <v>0.848284521793851</v>
      </c>
      <c r="Q80" s="36">
        <f t="shared" si="168"/>
        <v>0.848284521793851</v>
      </c>
      <c r="R80" s="39">
        <f>G80+I80+K80+M80+O80+Q80+G81+I81+K81+M81</f>
        <v>2.33584860141841</v>
      </c>
      <c r="S80" s="39">
        <f t="shared" si="135"/>
        <v>3.57530928605856</v>
      </c>
      <c r="T80" s="39">
        <f t="shared" si="136"/>
        <v>9.51613591751871</v>
      </c>
      <c r="U80" s="39">
        <f t="shared" si="137"/>
        <v>0.618146223291409</v>
      </c>
      <c r="V80" s="39">
        <f t="shared" si="138"/>
        <v>22.1597516603314</v>
      </c>
      <c r="W80" s="39">
        <f t="shared" si="139"/>
        <v>0.656758379857871</v>
      </c>
      <c r="X80" s="39">
        <f t="shared" si="140"/>
        <v>36.315903405672</v>
      </c>
      <c r="Y80" s="43"/>
      <c r="Z80" s="39">
        <v>0.410435705150662</v>
      </c>
      <c r="AA80" s="39"/>
      <c r="AB80" s="39"/>
      <c r="AC80" s="39"/>
      <c r="AD80" s="39"/>
      <c r="AE80" s="39"/>
      <c r="AF80" s="39"/>
      <c r="AG80" s="43"/>
      <c r="AH80" s="43"/>
    </row>
    <row r="81" spans="1:34">
      <c r="A81" s="35" t="s">
        <v>41</v>
      </c>
      <c r="B81" s="39"/>
      <c r="C81" s="39"/>
      <c r="D81" s="40" t="s">
        <v>72</v>
      </c>
      <c r="E81" s="36" t="s">
        <v>14</v>
      </c>
      <c r="F81" s="36">
        <v>-0.118058332693833</v>
      </c>
      <c r="G81" s="36">
        <f t="shared" ref="G81:K81" si="169">ABS(F81)</f>
        <v>0.118058332693833</v>
      </c>
      <c r="H81" s="39">
        <v>0.260264820405807</v>
      </c>
      <c r="I81" s="36">
        <f t="shared" si="169"/>
        <v>0.260264820405807</v>
      </c>
      <c r="J81" s="36">
        <v>-0.146384824483234</v>
      </c>
      <c r="K81" s="36">
        <f t="shared" si="169"/>
        <v>0.146384824483234</v>
      </c>
      <c r="L81" s="39">
        <v>-0.109661671770743</v>
      </c>
      <c r="M81" s="36">
        <f t="shared" ref="M81:Q81" si="170">ABS(L81)</f>
        <v>0.109661671770743</v>
      </c>
      <c r="N81" s="39">
        <v>0.0153408814306083</v>
      </c>
      <c r="O81" s="36">
        <f t="shared" si="170"/>
        <v>0.0153408814306083</v>
      </c>
      <c r="P81" s="39">
        <v>1.04957385668094</v>
      </c>
      <c r="Q81" s="36">
        <f t="shared" si="170"/>
        <v>1.04957385668094</v>
      </c>
      <c r="R81" s="39">
        <v>2.33584860141841</v>
      </c>
      <c r="S81" s="39">
        <f t="shared" si="135"/>
        <v>5.05419454934467</v>
      </c>
      <c r="T81" s="39">
        <f t="shared" si="136"/>
        <v>11.1421956135241</v>
      </c>
      <c r="U81" s="39">
        <f t="shared" si="137"/>
        <v>6.2668798138006</v>
      </c>
      <c r="V81" s="39">
        <f t="shared" si="138"/>
        <v>4.69472515060062</v>
      </c>
      <c r="W81" s="39">
        <f t="shared" si="139"/>
        <v>0.656758379857871</v>
      </c>
      <c r="X81" s="39">
        <f t="shared" si="140"/>
        <v>44.9332998741272</v>
      </c>
      <c r="Y81" s="43"/>
      <c r="Z81" s="39">
        <v>0.492969900198349</v>
      </c>
      <c r="AA81" s="39"/>
      <c r="AB81" s="39"/>
      <c r="AC81" s="39"/>
      <c r="AD81" s="39"/>
      <c r="AE81" s="39"/>
      <c r="AF81" s="39"/>
      <c r="AG81" s="43"/>
      <c r="AH81" s="43"/>
    </row>
    <row r="82" spans="1:34">
      <c r="A82" s="35" t="s">
        <v>41</v>
      </c>
      <c r="B82" s="35" t="s">
        <v>83</v>
      </c>
      <c r="C82" s="39"/>
      <c r="D82" s="40" t="s">
        <v>72</v>
      </c>
      <c r="E82" s="36" t="s">
        <v>15</v>
      </c>
      <c r="F82" s="36">
        <v>-0.00456516983692462</v>
      </c>
      <c r="G82" s="36">
        <f t="shared" ref="G82:K82" si="171">ABS(F82)</f>
        <v>0.00456516983692462</v>
      </c>
      <c r="H82" s="39">
        <v>-0.430588297413977</v>
      </c>
      <c r="I82" s="36">
        <f t="shared" si="171"/>
        <v>0.430588297413977</v>
      </c>
      <c r="J82" s="36">
        <v>-0.0521674642858537</v>
      </c>
      <c r="K82" s="36">
        <f t="shared" si="171"/>
        <v>0.0521674642858537</v>
      </c>
      <c r="L82" s="39">
        <v>-0.19464401913378</v>
      </c>
      <c r="M82" s="36">
        <f t="shared" ref="M82:Q82" si="172">ABS(L82)</f>
        <v>0.19464401913378</v>
      </c>
      <c r="N82" s="39">
        <v>-0.0105186115156152</v>
      </c>
      <c r="O82" s="36">
        <f t="shared" si="172"/>
        <v>0.0105186115156152</v>
      </c>
      <c r="P82" s="39">
        <v>0.619756289458877</v>
      </c>
      <c r="Q82" s="36">
        <f t="shared" si="172"/>
        <v>0.619756289458877</v>
      </c>
      <c r="R82" s="39">
        <f>G82+I82+K82+M82+O82+Q82</f>
        <v>1.31223985164503</v>
      </c>
      <c r="S82" s="39">
        <f t="shared" si="135"/>
        <v>0.347891418722097</v>
      </c>
      <c r="T82" s="39">
        <f t="shared" si="136"/>
        <v>32.8132312758365</v>
      </c>
      <c r="U82" s="39">
        <f t="shared" si="137"/>
        <v>3.97545191303681</v>
      </c>
      <c r="V82" s="39">
        <f t="shared" si="138"/>
        <v>14.8329605208814</v>
      </c>
      <c r="W82" s="39">
        <f t="shared" si="139"/>
        <v>0.801576899408217</v>
      </c>
      <c r="X82" s="39">
        <f t="shared" si="140"/>
        <v>47.2288879721149</v>
      </c>
      <c r="Y82" s="43"/>
      <c r="Z82" s="39">
        <v>0.506323706102046</v>
      </c>
      <c r="AA82" s="39"/>
      <c r="AB82" s="39"/>
      <c r="AC82" s="39"/>
      <c r="AD82" s="39"/>
      <c r="AE82" s="39"/>
      <c r="AF82" s="39"/>
      <c r="AG82" s="43"/>
      <c r="AH82" s="43"/>
    </row>
    <row r="83" spans="1:34">
      <c r="A83" s="35" t="s">
        <v>42</v>
      </c>
      <c r="B83" s="39"/>
      <c r="C83" s="39"/>
      <c r="D83" s="40" t="s">
        <v>72</v>
      </c>
      <c r="E83" s="36" t="s">
        <v>8</v>
      </c>
      <c r="F83" s="36">
        <v>-0.233827687602026</v>
      </c>
      <c r="G83" s="36">
        <f t="shared" ref="G83:K83" si="173">ABS(F83)</f>
        <v>0.233827687602026</v>
      </c>
      <c r="H83" s="39">
        <v>-0.981516588367745</v>
      </c>
      <c r="I83" s="36">
        <f t="shared" si="173"/>
        <v>0.981516588367745</v>
      </c>
      <c r="J83" s="36">
        <v>0.0703037113933271</v>
      </c>
      <c r="K83" s="36">
        <f t="shared" si="173"/>
        <v>0.0703037113933271</v>
      </c>
      <c r="L83" s="39">
        <v>-0.0783562171310253</v>
      </c>
      <c r="M83" s="36">
        <f t="shared" ref="M83:Q83" si="174">ABS(L83)</f>
        <v>0.0783562171310253</v>
      </c>
      <c r="N83" s="39">
        <v>0.406615171383597</v>
      </c>
      <c r="O83" s="36">
        <f t="shared" si="174"/>
        <v>0.406615171383597</v>
      </c>
      <c r="P83" s="39">
        <v>-2.22983114237684</v>
      </c>
      <c r="Q83" s="36">
        <f t="shared" si="174"/>
        <v>2.22983114237684</v>
      </c>
      <c r="R83" s="39">
        <f>G83+I83+K83+M83+O83+Q83+G84+I84+K84+M84</f>
        <v>4.7476118556875</v>
      </c>
      <c r="S83" s="39">
        <f t="shared" si="135"/>
        <v>4.92516437125978</v>
      </c>
      <c r="T83" s="39">
        <f t="shared" si="136"/>
        <v>20.6739012834825</v>
      </c>
      <c r="U83" s="39">
        <f t="shared" si="137"/>
        <v>1.4808226436857</v>
      </c>
      <c r="V83" s="39">
        <f t="shared" si="138"/>
        <v>1.65043435547826</v>
      </c>
      <c r="W83" s="39">
        <f t="shared" si="139"/>
        <v>8.56462541048894</v>
      </c>
      <c r="X83" s="39">
        <f t="shared" si="140"/>
        <v>46.9674272067033</v>
      </c>
      <c r="Y83" s="43"/>
      <c r="Z83" s="39">
        <v>0.430442604883759</v>
      </c>
      <c r="AA83" s="39"/>
      <c r="AB83" s="39"/>
      <c r="AC83" s="39"/>
      <c r="AD83" s="39"/>
      <c r="AE83" s="39"/>
      <c r="AF83" s="39"/>
      <c r="AG83" s="43"/>
      <c r="AH83" s="43"/>
    </row>
    <row r="84" spans="1:34">
      <c r="A84" s="35" t="s">
        <v>42</v>
      </c>
      <c r="B84" s="39"/>
      <c r="C84" s="39"/>
      <c r="D84" s="40" t="s">
        <v>72</v>
      </c>
      <c r="E84" s="36" t="s">
        <v>14</v>
      </c>
      <c r="F84" s="36">
        <v>-0.19076365082909</v>
      </c>
      <c r="G84" s="36">
        <f t="shared" ref="G84:K84" si="175">ABS(F84)</f>
        <v>0.19076365082909</v>
      </c>
      <c r="H84" s="39">
        <v>0.354925541591348</v>
      </c>
      <c r="I84" s="36">
        <f t="shared" si="175"/>
        <v>0.354925541591348</v>
      </c>
      <c r="J84" s="36">
        <v>-0.10372731813791</v>
      </c>
      <c r="K84" s="36">
        <f t="shared" si="175"/>
        <v>0.10372731813791</v>
      </c>
      <c r="L84" s="39">
        <v>0.0977448268745884</v>
      </c>
      <c r="M84" s="36">
        <f t="shared" ref="M84:Q84" si="176">ABS(L84)</f>
        <v>0.0977448268745884</v>
      </c>
      <c r="N84" s="39">
        <v>0.406615171383597</v>
      </c>
      <c r="O84" s="36">
        <f t="shared" si="176"/>
        <v>0.406615171383597</v>
      </c>
      <c r="P84" s="39">
        <v>-0.802001554402473</v>
      </c>
      <c r="Q84" s="36">
        <f t="shared" si="176"/>
        <v>0.802001554402473</v>
      </c>
      <c r="R84" s="39">
        <v>4.7476118556875</v>
      </c>
      <c r="S84" s="39">
        <f t="shared" si="135"/>
        <v>4.01809702704657</v>
      </c>
      <c r="T84" s="39">
        <f t="shared" si="136"/>
        <v>7.47587529014524</v>
      </c>
      <c r="U84" s="39">
        <f t="shared" si="137"/>
        <v>2.18483147508463</v>
      </c>
      <c r="V84" s="39">
        <f t="shared" si="138"/>
        <v>2.05882093662507</v>
      </c>
      <c r="W84" s="39">
        <f t="shared" si="139"/>
        <v>8.56462541048894</v>
      </c>
      <c r="X84" s="39">
        <f t="shared" si="140"/>
        <v>16.8927363647409</v>
      </c>
      <c r="Y84" s="43"/>
      <c r="Z84" s="39">
        <v>0.400322219993695</v>
      </c>
      <c r="AA84" s="39"/>
      <c r="AB84" s="39"/>
      <c r="AC84" s="39"/>
      <c r="AD84" s="39"/>
      <c r="AE84" s="39"/>
      <c r="AF84" s="39"/>
      <c r="AG84" s="43"/>
      <c r="AH84" s="43"/>
    </row>
    <row r="85" spans="1:34">
      <c r="A85" s="35" t="s">
        <v>42</v>
      </c>
      <c r="B85" s="35" t="s">
        <v>82</v>
      </c>
      <c r="C85" s="39"/>
      <c r="D85" s="40" t="s">
        <v>72</v>
      </c>
      <c r="E85" s="36" t="s">
        <v>15</v>
      </c>
      <c r="F85" s="36">
        <v>-0.027335755488293</v>
      </c>
      <c r="G85" s="36">
        <f t="shared" ref="G85:K85" si="177">ABS(F85)</f>
        <v>0.027335755488293</v>
      </c>
      <c r="H85" s="39">
        <v>-0.618022111490746</v>
      </c>
      <c r="I85" s="36">
        <f t="shared" si="177"/>
        <v>0.618022111490746</v>
      </c>
      <c r="J85" s="36">
        <v>-0.283122199681495</v>
      </c>
      <c r="K85" s="36">
        <f t="shared" si="177"/>
        <v>0.283122199681495</v>
      </c>
      <c r="L85" s="39">
        <v>-0.0016615440190518</v>
      </c>
      <c r="M85" s="36">
        <f t="shared" ref="M85:Q85" si="178">ABS(L85)</f>
        <v>0.0016615440190518</v>
      </c>
      <c r="N85" s="39">
        <v>0.109071166294314</v>
      </c>
      <c r="O85" s="36">
        <f t="shared" si="178"/>
        <v>0.109071166294314</v>
      </c>
      <c r="P85" s="39">
        <v>-1.66074773743291</v>
      </c>
      <c r="Q85" s="36">
        <f t="shared" si="178"/>
        <v>1.66074773743291</v>
      </c>
      <c r="R85" s="39">
        <f>G85+I85+K85+M85+O85+Q85</f>
        <v>2.69996051440681</v>
      </c>
      <c r="S85" s="39">
        <f t="shared" si="135"/>
        <v>1.01245019482438</v>
      </c>
      <c r="T85" s="39">
        <f t="shared" si="136"/>
        <v>22.8900425836978</v>
      </c>
      <c r="U85" s="39">
        <f t="shared" si="137"/>
        <v>10.4861607483063</v>
      </c>
      <c r="V85" s="39">
        <f t="shared" si="138"/>
        <v>0.0615395673450005</v>
      </c>
      <c r="W85" s="39">
        <f t="shared" si="139"/>
        <v>4.03973190394147</v>
      </c>
      <c r="X85" s="39">
        <f t="shared" si="140"/>
        <v>61.510075001885</v>
      </c>
      <c r="Y85" s="43"/>
      <c r="Z85" s="39">
        <v>0.350720845210443</v>
      </c>
      <c r="AA85" s="39"/>
      <c r="AB85" s="39"/>
      <c r="AC85" s="39"/>
      <c r="AD85" s="39"/>
      <c r="AE85" s="39"/>
      <c r="AF85" s="39"/>
      <c r="AG85" s="43"/>
      <c r="AH85" s="43"/>
    </row>
    <row r="86" spans="1:34">
      <c r="A86" s="35" t="s">
        <v>43</v>
      </c>
      <c r="B86" s="39"/>
      <c r="C86" s="39"/>
      <c r="D86" s="40" t="s">
        <v>72</v>
      </c>
      <c r="E86" s="36" t="s">
        <v>8</v>
      </c>
      <c r="F86" s="36">
        <v>0.119954684755151</v>
      </c>
      <c r="G86" s="36">
        <f t="shared" ref="G86:K86" si="179">ABS(F86)</f>
        <v>0.119954684755151</v>
      </c>
      <c r="H86" s="39">
        <v>1.91040663793077</v>
      </c>
      <c r="I86" s="36">
        <f t="shared" si="179"/>
        <v>1.91040663793077</v>
      </c>
      <c r="J86" s="36">
        <v>-0.00677123451138377</v>
      </c>
      <c r="K86" s="36">
        <f t="shared" si="179"/>
        <v>0.00677123451138377</v>
      </c>
      <c r="L86" s="39">
        <v>0.30947785509784</v>
      </c>
      <c r="M86" s="36">
        <f t="shared" ref="M86:Q86" si="180">ABS(L86)</f>
        <v>0.30947785509784</v>
      </c>
      <c r="N86" s="39">
        <v>-0.0329162406036164</v>
      </c>
      <c r="O86" s="36">
        <f t="shared" si="180"/>
        <v>0.0329162406036164</v>
      </c>
      <c r="P86" s="39">
        <v>-0.111941608823548</v>
      </c>
      <c r="Q86" s="36">
        <f t="shared" si="180"/>
        <v>0.111941608823548</v>
      </c>
      <c r="R86" s="39">
        <f>G86+I86+K86+M86+O86+Q86+G87+I87+K87+M87</f>
        <v>4.54663138876226</v>
      </c>
      <c r="S86" s="39">
        <f t="shared" si="135"/>
        <v>2.63831998898434</v>
      </c>
      <c r="T86" s="39">
        <f t="shared" si="136"/>
        <v>42.0180673245834</v>
      </c>
      <c r="U86" s="39">
        <f t="shared" si="137"/>
        <v>0.14892860081246</v>
      </c>
      <c r="V86" s="39">
        <f t="shared" si="138"/>
        <v>6.80675050682061</v>
      </c>
      <c r="W86" s="39">
        <f t="shared" si="139"/>
        <v>0.723969853482608</v>
      </c>
      <c r="X86" s="39">
        <f t="shared" si="140"/>
        <v>2.46207794852756</v>
      </c>
      <c r="Y86" s="43"/>
      <c r="Z86" s="39">
        <v>0.581355105102332</v>
      </c>
      <c r="AA86" s="39"/>
      <c r="AB86" s="39"/>
      <c r="AC86" s="39"/>
      <c r="AD86" s="39"/>
      <c r="AE86" s="39"/>
      <c r="AF86" s="39"/>
      <c r="AG86" s="43"/>
      <c r="AH86" s="43"/>
    </row>
    <row r="87" spans="1:34">
      <c r="A87" s="35" t="s">
        <v>43</v>
      </c>
      <c r="B87" s="39"/>
      <c r="C87" s="39"/>
      <c r="D87" s="40" t="s">
        <v>72</v>
      </c>
      <c r="E87" s="36" t="s">
        <v>14</v>
      </c>
      <c r="F87" s="36">
        <v>-0.45977394468623</v>
      </c>
      <c r="G87" s="36">
        <f t="shared" ref="G87:K87" si="181">ABS(F87)</f>
        <v>0.45977394468623</v>
      </c>
      <c r="H87" s="39">
        <v>0.858550753708231</v>
      </c>
      <c r="I87" s="36">
        <f t="shared" si="181"/>
        <v>0.858550753708231</v>
      </c>
      <c r="J87" s="36">
        <v>0.636178446844587</v>
      </c>
      <c r="K87" s="36">
        <f t="shared" si="181"/>
        <v>0.636178446844587</v>
      </c>
      <c r="L87" s="39">
        <v>0.100659981800904</v>
      </c>
      <c r="M87" s="36">
        <f t="shared" ref="M87:Q87" si="182">ABS(L87)</f>
        <v>0.100659981800904</v>
      </c>
      <c r="N87" s="39">
        <v>-0.0329162406036164</v>
      </c>
      <c r="O87" s="36">
        <f t="shared" si="182"/>
        <v>0.0329162406036164</v>
      </c>
      <c r="P87" s="39">
        <v>-1.10713327118444</v>
      </c>
      <c r="Q87" s="36">
        <f t="shared" si="182"/>
        <v>1.10713327118444</v>
      </c>
      <c r="R87" s="39">
        <v>4.54663138876226</v>
      </c>
      <c r="S87" s="39">
        <f t="shared" si="135"/>
        <v>10.1124086246058</v>
      </c>
      <c r="T87" s="39">
        <f t="shared" si="136"/>
        <v>18.8832276095722</v>
      </c>
      <c r="U87" s="39">
        <f t="shared" si="137"/>
        <v>13.9923031459512</v>
      </c>
      <c r="V87" s="39">
        <f t="shared" si="138"/>
        <v>2.21394639665977</v>
      </c>
      <c r="W87" s="39">
        <f t="shared" si="139"/>
        <v>0.723969853482608</v>
      </c>
      <c r="X87" s="39">
        <f t="shared" si="140"/>
        <v>24.3506274540069</v>
      </c>
      <c r="Y87" s="43"/>
      <c r="Z87" s="39">
        <v>0.965404001150872</v>
      </c>
      <c r="AA87" s="39"/>
      <c r="AB87" s="39"/>
      <c r="AC87" s="39"/>
      <c r="AD87" s="39"/>
      <c r="AE87" s="39"/>
      <c r="AF87" s="39"/>
      <c r="AG87" s="43"/>
      <c r="AH87" s="39"/>
    </row>
    <row r="88" spans="1:34">
      <c r="A88" s="35" t="s">
        <v>43</v>
      </c>
      <c r="B88" s="35" t="s">
        <v>82</v>
      </c>
      <c r="C88" s="39"/>
      <c r="D88" s="40" t="s">
        <v>72</v>
      </c>
      <c r="E88" s="36" t="s">
        <v>15</v>
      </c>
      <c r="F88" s="36">
        <v>0.0642354611682264</v>
      </c>
      <c r="G88" s="36">
        <f t="shared" ref="G88:K88" si="183">ABS(F88)</f>
        <v>0.0642354611682264</v>
      </c>
      <c r="H88" s="39">
        <v>3.05103842877417</v>
      </c>
      <c r="I88" s="36">
        <f t="shared" si="183"/>
        <v>3.05103842877417</v>
      </c>
      <c r="J88" s="36">
        <v>0.587511688592498</v>
      </c>
      <c r="K88" s="36">
        <f t="shared" si="183"/>
        <v>0.587511688592498</v>
      </c>
      <c r="L88" s="39">
        <v>-0.000657495486559947</v>
      </c>
      <c r="M88" s="36">
        <f t="shared" ref="M88:Q88" si="184">ABS(L88)</f>
        <v>0.000657495486559947</v>
      </c>
      <c r="N88" s="39">
        <v>0.160995494971489</v>
      </c>
      <c r="O88" s="36">
        <f t="shared" si="184"/>
        <v>0.160995494971489</v>
      </c>
      <c r="P88" s="39">
        <v>-0.572214487110735</v>
      </c>
      <c r="Q88" s="36">
        <f t="shared" si="184"/>
        <v>0.572214487110735</v>
      </c>
      <c r="R88" s="39">
        <f>G88+I88+K88+M88+O88+Q88</f>
        <v>4.43665305610368</v>
      </c>
      <c r="S88" s="39">
        <f t="shared" si="135"/>
        <v>1.44783602314486</v>
      </c>
      <c r="T88" s="39">
        <f t="shared" si="136"/>
        <v>68.7689208552545</v>
      </c>
      <c r="U88" s="39">
        <f t="shared" si="137"/>
        <v>13.2422274440467</v>
      </c>
      <c r="V88" s="39">
        <f t="shared" si="138"/>
        <v>0.0148196281801978</v>
      </c>
      <c r="W88" s="39">
        <f t="shared" si="139"/>
        <v>3.62876007962807</v>
      </c>
      <c r="X88" s="39">
        <f t="shared" si="140"/>
        <v>12.8974359697456</v>
      </c>
      <c r="Y88" s="43"/>
      <c r="Z88" s="39">
        <v>0.83825307291337</v>
      </c>
      <c r="AA88" s="39"/>
      <c r="AB88" s="39"/>
      <c r="AC88" s="39"/>
      <c r="AD88" s="39"/>
      <c r="AE88" s="39"/>
      <c r="AF88" s="39"/>
      <c r="AG88" s="43"/>
      <c r="AH88" s="39"/>
    </row>
    <row r="89" spans="1:34">
      <c r="A89" s="35" t="s">
        <v>44</v>
      </c>
      <c r="B89" s="39"/>
      <c r="C89" s="39"/>
      <c r="D89" s="40" t="s">
        <v>72</v>
      </c>
      <c r="E89" s="36" t="s">
        <v>8</v>
      </c>
      <c r="F89" s="36">
        <v>-0.0247793943358818</v>
      </c>
      <c r="G89" s="36">
        <f t="shared" ref="G89:K89" si="185">ABS(F89)</f>
        <v>0.0247793943358818</v>
      </c>
      <c r="H89" s="39">
        <v>-0.411052556132625</v>
      </c>
      <c r="I89" s="36">
        <f t="shared" si="185"/>
        <v>0.411052556132625</v>
      </c>
      <c r="J89" s="36">
        <v>0.0158836145979696</v>
      </c>
      <c r="K89" s="36">
        <f t="shared" si="185"/>
        <v>0.0158836145979696</v>
      </c>
      <c r="L89" s="39">
        <v>-0.216064782679951</v>
      </c>
      <c r="M89" s="36">
        <f t="shared" ref="M89:Q89" si="186">ABS(L89)</f>
        <v>0.216064782679951</v>
      </c>
      <c r="N89" s="39">
        <v>-0.000684990207350537</v>
      </c>
      <c r="O89" s="36">
        <f t="shared" si="186"/>
        <v>0.000684990207350537</v>
      </c>
      <c r="P89" s="39">
        <v>1.07362868238031</v>
      </c>
      <c r="Q89" s="36">
        <f t="shared" si="186"/>
        <v>1.07362868238031</v>
      </c>
      <c r="R89" s="39">
        <f>G89+I89+K89+M89+O89+Q89+G90+I90+K90+M90</f>
        <v>2.46140746654271</v>
      </c>
      <c r="S89" s="39">
        <f t="shared" si="135"/>
        <v>1.00671646904065</v>
      </c>
      <c r="T89" s="39">
        <f t="shared" si="136"/>
        <v>16.699898806677</v>
      </c>
      <c r="U89" s="39">
        <f t="shared" si="137"/>
        <v>0.645306184119109</v>
      </c>
      <c r="V89" s="39">
        <f t="shared" si="138"/>
        <v>8.7780989379802</v>
      </c>
      <c r="W89" s="39">
        <f t="shared" si="139"/>
        <v>0.0278292081527108</v>
      </c>
      <c r="X89" s="39">
        <f t="shared" si="140"/>
        <v>43.6184864543507</v>
      </c>
      <c r="Y89" s="43"/>
      <c r="Z89" s="39">
        <v>0.692765284256933</v>
      </c>
      <c r="AA89" s="39"/>
      <c r="AB89" s="39"/>
      <c r="AC89" s="39"/>
      <c r="AD89" s="39"/>
      <c r="AE89" s="39"/>
      <c r="AF89" s="39"/>
      <c r="AG89" s="43"/>
      <c r="AH89" s="39"/>
    </row>
    <row r="90" spans="1:34">
      <c r="A90" s="35" t="s">
        <v>44</v>
      </c>
      <c r="B90" s="39"/>
      <c r="C90" s="39"/>
      <c r="D90" s="40" t="s">
        <v>72</v>
      </c>
      <c r="E90" s="36" t="s">
        <v>14</v>
      </c>
      <c r="F90" s="36">
        <v>0.207129548463278</v>
      </c>
      <c r="G90" s="36">
        <f t="shared" ref="G90:K90" si="187">ABS(F90)</f>
        <v>0.207129548463278</v>
      </c>
      <c r="H90" s="39">
        <v>-0.322142066301912</v>
      </c>
      <c r="I90" s="36">
        <f t="shared" si="187"/>
        <v>0.322142066301912</v>
      </c>
      <c r="J90" s="36">
        <v>-0.178364721237234</v>
      </c>
      <c r="K90" s="36">
        <f t="shared" si="187"/>
        <v>0.178364721237234</v>
      </c>
      <c r="L90" s="39">
        <v>0.0116771102061993</v>
      </c>
      <c r="M90" s="36">
        <f t="shared" ref="M90:Q90" si="188">ABS(L90)</f>
        <v>0.0116771102061993</v>
      </c>
      <c r="N90" s="39">
        <v>-0.000684990207350537</v>
      </c>
      <c r="O90" s="36">
        <f t="shared" si="188"/>
        <v>0.000684990207350537</v>
      </c>
      <c r="P90" s="39">
        <v>1.2189828822919</v>
      </c>
      <c r="Q90" s="36">
        <f t="shared" si="188"/>
        <v>1.2189828822919</v>
      </c>
      <c r="R90" s="39">
        <v>2.46140746654271</v>
      </c>
      <c r="S90" s="39">
        <f t="shared" si="135"/>
        <v>8.41508572955667</v>
      </c>
      <c r="T90" s="39">
        <f t="shared" si="136"/>
        <v>13.0877179288967</v>
      </c>
      <c r="U90" s="39">
        <f t="shared" si="137"/>
        <v>7.24645243267117</v>
      </c>
      <c r="V90" s="39">
        <f t="shared" si="138"/>
        <v>0.474407848555077</v>
      </c>
      <c r="W90" s="39">
        <f t="shared" si="139"/>
        <v>0.0278292081527108</v>
      </c>
      <c r="X90" s="39">
        <f t="shared" si="140"/>
        <v>49.5238150879619</v>
      </c>
      <c r="Y90" s="43"/>
      <c r="Z90" s="39">
        <v>0.836103844889915</v>
      </c>
      <c r="AA90" s="39"/>
      <c r="AB90" s="39"/>
      <c r="AC90" s="39"/>
      <c r="AD90" s="39"/>
      <c r="AE90" s="39"/>
      <c r="AF90" s="39"/>
      <c r="AG90" s="43"/>
      <c r="AH90" s="39"/>
    </row>
    <row r="91" spans="1:34">
      <c r="A91" s="35" t="s">
        <v>44</v>
      </c>
      <c r="B91" s="35" t="s">
        <v>83</v>
      </c>
      <c r="C91" s="39"/>
      <c r="D91" s="40" t="s">
        <v>72</v>
      </c>
      <c r="E91" s="36" t="s">
        <v>15</v>
      </c>
      <c r="F91" s="36">
        <v>-0.0268123543189729</v>
      </c>
      <c r="G91" s="36">
        <f t="shared" ref="G91:K91" si="189">ABS(F91)</f>
        <v>0.0268123543189729</v>
      </c>
      <c r="H91" s="39">
        <v>-0.600641645557731</v>
      </c>
      <c r="I91" s="36">
        <f t="shared" si="189"/>
        <v>0.600641645557731</v>
      </c>
      <c r="J91" s="36">
        <v>-0.0801025723128539</v>
      </c>
      <c r="K91" s="36">
        <f t="shared" si="189"/>
        <v>0.0801025723128539</v>
      </c>
      <c r="L91" s="39">
        <v>-0.00253257752578933</v>
      </c>
      <c r="M91" s="36">
        <f t="shared" ref="M91:Q91" si="190">ABS(L91)</f>
        <v>0.00253257752578933</v>
      </c>
      <c r="N91" s="39">
        <v>-0.000582108071275951</v>
      </c>
      <c r="O91" s="36">
        <f t="shared" si="190"/>
        <v>0.000582108071275951</v>
      </c>
      <c r="P91" s="39">
        <v>0.865216712332078</v>
      </c>
      <c r="Q91" s="36">
        <f t="shared" si="190"/>
        <v>0.865216712332078</v>
      </c>
      <c r="R91" s="39">
        <f>G91+I91+K91+M91+O91+Q91</f>
        <v>1.5758879701187</v>
      </c>
      <c r="S91" s="39">
        <f t="shared" si="135"/>
        <v>1.70141246252126</v>
      </c>
      <c r="T91" s="39">
        <f t="shared" si="136"/>
        <v>38.1144889070058</v>
      </c>
      <c r="U91" s="39">
        <f t="shared" si="137"/>
        <v>5.0830118531091</v>
      </c>
      <c r="V91" s="39">
        <f t="shared" si="138"/>
        <v>0.160707967432391</v>
      </c>
      <c r="W91" s="39">
        <f t="shared" si="139"/>
        <v>0.0369384170901504</v>
      </c>
      <c r="X91" s="39">
        <f t="shared" si="140"/>
        <v>54.9034403928413</v>
      </c>
      <c r="Y91" s="43"/>
      <c r="Z91" s="39">
        <v>0.429897039345208</v>
      </c>
      <c r="AA91" s="39"/>
      <c r="AB91" s="39"/>
      <c r="AC91" s="39"/>
      <c r="AD91" s="39"/>
      <c r="AE91" s="39"/>
      <c r="AF91" s="39"/>
      <c r="AG91" s="43"/>
      <c r="AH91" s="39"/>
    </row>
    <row r="92" spans="1:34">
      <c r="A92" s="35" t="s">
        <v>45</v>
      </c>
      <c r="B92" s="39"/>
      <c r="C92" s="39"/>
      <c r="D92" s="40" t="s">
        <v>75</v>
      </c>
      <c r="E92" s="36" t="s">
        <v>8</v>
      </c>
      <c r="F92" s="36">
        <v>-0.00151106160742276</v>
      </c>
      <c r="G92" s="36">
        <f t="shared" ref="G92:K92" si="191">ABS(F92)</f>
        <v>0.00151106160742276</v>
      </c>
      <c r="H92" s="39">
        <v>-0.0274558976554851</v>
      </c>
      <c r="I92" s="36">
        <f t="shared" si="191"/>
        <v>0.0274558976554851</v>
      </c>
      <c r="J92" s="36">
        <v>-0.0230226095323936</v>
      </c>
      <c r="K92" s="36">
        <f t="shared" si="191"/>
        <v>0.0230226095323936</v>
      </c>
      <c r="L92" s="39">
        <v>0.343834826927926</v>
      </c>
      <c r="M92" s="36">
        <f t="shared" ref="M92:Q92" si="192">ABS(L92)</f>
        <v>0.343834826927926</v>
      </c>
      <c r="N92" s="39">
        <v>0.689071285063335</v>
      </c>
      <c r="O92" s="36">
        <f t="shared" si="192"/>
        <v>0.689071285063335</v>
      </c>
      <c r="P92" s="39">
        <v>-0.584783606581873</v>
      </c>
      <c r="Q92" s="36">
        <f t="shared" si="192"/>
        <v>0.584783606581873</v>
      </c>
      <c r="R92" s="39">
        <f>G92+I92+K92+M92+O92+Q92+G93+I93+K93+M93</f>
        <v>3.00107450731895</v>
      </c>
      <c r="S92" s="39">
        <f t="shared" si="135"/>
        <v>0.0503506861871512</v>
      </c>
      <c r="T92" s="39">
        <f t="shared" si="136"/>
        <v>0.914868910736014</v>
      </c>
      <c r="U92" s="39">
        <f t="shared" si="137"/>
        <v>0.767145549910427</v>
      </c>
      <c r="V92" s="39">
        <f t="shared" si="138"/>
        <v>11.4570573336113</v>
      </c>
      <c r="W92" s="39">
        <f t="shared" si="139"/>
        <v>22.9608189794303</v>
      </c>
      <c r="X92" s="39">
        <f t="shared" si="140"/>
        <v>19.4858076717428</v>
      </c>
      <c r="Y92" s="39"/>
      <c r="Z92" s="43">
        <v>0.184516083394553</v>
      </c>
      <c r="AA92" s="39"/>
      <c r="AB92" s="39"/>
      <c r="AC92" s="39"/>
      <c r="AD92" s="39"/>
      <c r="AE92" s="39"/>
      <c r="AF92" s="39"/>
      <c r="AG92" s="43"/>
      <c r="AH92" s="39"/>
    </row>
    <row r="93" spans="1:34">
      <c r="A93" s="35" t="s">
        <v>45</v>
      </c>
      <c r="B93" s="39"/>
      <c r="C93" s="39"/>
      <c r="D93" s="40" t="s">
        <v>75</v>
      </c>
      <c r="E93" s="36" t="s">
        <v>14</v>
      </c>
      <c r="F93" s="36">
        <v>0.295902516680407</v>
      </c>
      <c r="G93" s="36">
        <f t="shared" ref="G93:K93" si="193">ABS(F93)</f>
        <v>0.295902516680407</v>
      </c>
      <c r="H93" s="39">
        <v>-0.251021672431997</v>
      </c>
      <c r="I93" s="36">
        <f t="shared" si="193"/>
        <v>0.251021672431997</v>
      </c>
      <c r="J93" s="36">
        <v>-0.465058047718123</v>
      </c>
      <c r="K93" s="36">
        <f t="shared" si="193"/>
        <v>0.465058047718123</v>
      </c>
      <c r="L93" s="39">
        <v>-0.319412983119989</v>
      </c>
      <c r="M93" s="36">
        <f t="shared" ref="M93:Q93" si="194">ABS(L93)</f>
        <v>0.319412983119989</v>
      </c>
      <c r="N93" s="39">
        <v>0.689071285063335</v>
      </c>
      <c r="O93" s="36">
        <f t="shared" si="194"/>
        <v>0.689071285063335</v>
      </c>
      <c r="P93" s="39">
        <v>0.126351162237968</v>
      </c>
      <c r="Q93" s="36">
        <f t="shared" si="194"/>
        <v>0.126351162237968</v>
      </c>
      <c r="R93" s="39">
        <v>3.00107450731895</v>
      </c>
      <c r="S93" s="39">
        <f t="shared" si="135"/>
        <v>9.85988571622487</v>
      </c>
      <c r="T93" s="39">
        <f t="shared" si="136"/>
        <v>8.36439321382429</v>
      </c>
      <c r="U93" s="39">
        <f t="shared" si="137"/>
        <v>15.4963845977149</v>
      </c>
      <c r="V93" s="39">
        <f t="shared" si="138"/>
        <v>10.6432873406179</v>
      </c>
      <c r="W93" s="39">
        <f t="shared" si="139"/>
        <v>22.9608189794303</v>
      </c>
      <c r="X93" s="39">
        <f t="shared" si="140"/>
        <v>4.21019744527588</v>
      </c>
      <c r="Y93" s="39"/>
      <c r="Z93" s="43">
        <v>0.37774645064512</v>
      </c>
      <c r="AA93" s="39"/>
      <c r="AB93" s="39"/>
      <c r="AC93" s="39"/>
      <c r="AD93" s="39"/>
      <c r="AE93" s="39"/>
      <c r="AF93" s="39"/>
      <c r="AG93" s="43"/>
      <c r="AH93" s="39"/>
    </row>
    <row r="94" spans="1:34">
      <c r="A94" s="35" t="s">
        <v>45</v>
      </c>
      <c r="B94" s="35" t="s">
        <v>83</v>
      </c>
      <c r="C94" s="39"/>
      <c r="D94" s="40" t="s">
        <v>75</v>
      </c>
      <c r="E94" s="36" t="s">
        <v>15</v>
      </c>
      <c r="F94" s="36">
        <v>0.00333302623951909</v>
      </c>
      <c r="G94" s="36">
        <f t="shared" ref="G94:K94" si="195">ABS(F94)</f>
        <v>0.00333302623951909</v>
      </c>
      <c r="H94" s="39">
        <v>0.062441851394242</v>
      </c>
      <c r="I94" s="36">
        <f t="shared" si="195"/>
        <v>0.062441851394242</v>
      </c>
      <c r="J94" s="36">
        <v>-0.000245810303481792</v>
      </c>
      <c r="K94" s="36">
        <f t="shared" si="195"/>
        <v>0.000245810303481792</v>
      </c>
      <c r="L94" s="39">
        <v>0.0698819675107396</v>
      </c>
      <c r="M94" s="36">
        <f t="shared" ref="M94:Q94" si="196">ABS(L94)</f>
        <v>0.0698819675107396</v>
      </c>
      <c r="N94" s="39">
        <v>-0.0777383492965277</v>
      </c>
      <c r="O94" s="36">
        <f t="shared" si="196"/>
        <v>0.0777383492965277</v>
      </c>
      <c r="P94" s="39">
        <v>0.287941349543228</v>
      </c>
      <c r="Q94" s="36">
        <f t="shared" si="196"/>
        <v>0.287941349543228</v>
      </c>
      <c r="R94" s="39">
        <f>G94+I94+K94+M94+O94+Q94</f>
        <v>0.501582354287738</v>
      </c>
      <c r="S94" s="39">
        <f t="shared" si="135"/>
        <v>0.664502291802527</v>
      </c>
      <c r="T94" s="39">
        <f t="shared" si="136"/>
        <v>12.4489729075321</v>
      </c>
      <c r="U94" s="39">
        <f t="shared" si="137"/>
        <v>0.049006967924709</v>
      </c>
      <c r="V94" s="39">
        <f t="shared" si="138"/>
        <v>13.9323018270796</v>
      </c>
      <c r="W94" s="39">
        <f t="shared" si="139"/>
        <v>15.49862123976</v>
      </c>
      <c r="X94" s="39">
        <f t="shared" si="140"/>
        <v>57.406594765901</v>
      </c>
      <c r="Y94" s="39"/>
      <c r="Z94" s="43">
        <v>0.219937439583653</v>
      </c>
      <c r="AA94" s="39"/>
      <c r="AB94" s="39"/>
      <c r="AC94" s="39"/>
      <c r="AD94" s="39"/>
      <c r="AE94" s="39"/>
      <c r="AF94" s="39"/>
      <c r="AG94" s="43"/>
      <c r="AH94" s="39"/>
    </row>
    <row r="95" spans="1:34">
      <c r="A95" s="35" t="s">
        <v>46</v>
      </c>
      <c r="B95" s="39"/>
      <c r="C95" s="39"/>
      <c r="D95" s="40" t="s">
        <v>75</v>
      </c>
      <c r="E95" s="36" t="s">
        <v>8</v>
      </c>
      <c r="F95" s="36">
        <v>-0.214962210215273</v>
      </c>
      <c r="G95" s="36">
        <f t="shared" ref="G95:K95" si="197">ABS(F95)</f>
        <v>0.214962210215273</v>
      </c>
      <c r="H95" s="39">
        <v>0.303402037668368</v>
      </c>
      <c r="I95" s="36">
        <f t="shared" si="197"/>
        <v>0.303402037668368</v>
      </c>
      <c r="J95" s="36">
        <v>0.0477052668072263</v>
      </c>
      <c r="K95" s="36">
        <f t="shared" si="197"/>
        <v>0.0477052668072263</v>
      </c>
      <c r="L95" s="39">
        <v>0.0896176477609998</v>
      </c>
      <c r="M95" s="36">
        <f t="shared" ref="M95:Q95" si="198">ABS(L95)</f>
        <v>0.0896176477609998</v>
      </c>
      <c r="N95" s="39">
        <v>-0.00287796821161644</v>
      </c>
      <c r="O95" s="36">
        <f t="shared" si="198"/>
        <v>0.00287796821161644</v>
      </c>
      <c r="P95" s="39">
        <v>-0.0328063819373982</v>
      </c>
      <c r="Q95" s="36">
        <f t="shared" si="198"/>
        <v>0.0328063819373982</v>
      </c>
      <c r="R95" s="39">
        <f>G95+I95+K95+M95+O95+Q95+G96+I96+K96+M96</f>
        <v>3.72029139803456</v>
      </c>
      <c r="S95" s="39">
        <f t="shared" si="135"/>
        <v>5.77810142315299</v>
      </c>
      <c r="T95" s="39">
        <f t="shared" si="136"/>
        <v>8.15532992465741</v>
      </c>
      <c r="U95" s="39">
        <f t="shared" si="137"/>
        <v>1.28229919926243</v>
      </c>
      <c r="V95" s="39">
        <f t="shared" si="138"/>
        <v>2.40888785777225</v>
      </c>
      <c r="W95" s="39">
        <f t="shared" si="139"/>
        <v>0.0773586771492384</v>
      </c>
      <c r="X95" s="39">
        <f t="shared" si="140"/>
        <v>0.881822911902275</v>
      </c>
      <c r="Y95" s="43"/>
      <c r="Z95" s="43">
        <v>0.692893754988147</v>
      </c>
      <c r="AA95" s="39"/>
      <c r="AB95" s="39"/>
      <c r="AC95" s="39"/>
      <c r="AD95" s="39"/>
      <c r="AE95" s="39"/>
      <c r="AF95" s="39"/>
      <c r="AG95" s="43"/>
      <c r="AH95" s="39"/>
    </row>
    <row r="96" spans="1:34">
      <c r="A96" s="35" t="s">
        <v>46</v>
      </c>
      <c r="B96" s="39"/>
      <c r="C96" s="39"/>
      <c r="D96" s="40" t="s">
        <v>75</v>
      </c>
      <c r="E96" s="36" t="s">
        <v>14</v>
      </c>
      <c r="F96" s="36">
        <v>-1.15337124562022</v>
      </c>
      <c r="G96" s="36">
        <f t="shared" ref="G96:K96" si="199">ABS(F96)</f>
        <v>1.15337124562022</v>
      </c>
      <c r="H96" s="39">
        <v>1.48362486140062</v>
      </c>
      <c r="I96" s="36">
        <f t="shared" si="199"/>
        <v>1.48362486140062</v>
      </c>
      <c r="J96" s="36">
        <v>0.283469861743836</v>
      </c>
      <c r="K96" s="36">
        <f t="shared" si="199"/>
        <v>0.283469861743836</v>
      </c>
      <c r="L96" s="39">
        <v>0.108453916669</v>
      </c>
      <c r="M96" s="36">
        <f t="shared" ref="M96:Q96" si="200">ABS(L96)</f>
        <v>0.108453916669</v>
      </c>
      <c r="N96" s="39">
        <v>-0.00287796821161644</v>
      </c>
      <c r="O96" s="36">
        <f t="shared" si="200"/>
        <v>0.00287796821161644</v>
      </c>
      <c r="P96" s="39">
        <v>-0.0671853110262233</v>
      </c>
      <c r="Q96" s="36">
        <f t="shared" si="200"/>
        <v>0.0671853110262233</v>
      </c>
      <c r="R96" s="39">
        <v>3.72029139803456</v>
      </c>
      <c r="S96" s="39">
        <f t="shared" si="135"/>
        <v>31.0021748895678</v>
      </c>
      <c r="T96" s="39">
        <f t="shared" si="136"/>
        <v>39.8792648926485</v>
      </c>
      <c r="U96" s="39">
        <f t="shared" si="137"/>
        <v>7.61956071219566</v>
      </c>
      <c r="V96" s="39">
        <f t="shared" si="138"/>
        <v>2.91519951169138</v>
      </c>
      <c r="W96" s="39">
        <f t="shared" si="139"/>
        <v>0.0773586771492383</v>
      </c>
      <c r="X96" s="39">
        <f t="shared" si="140"/>
        <v>1.80591528560686</v>
      </c>
      <c r="Y96" s="43"/>
      <c r="Z96" s="43">
        <v>0.765053045190255</v>
      </c>
      <c r="AA96" s="39"/>
      <c r="AB96" s="39"/>
      <c r="AC96" s="39"/>
      <c r="AD96" s="39"/>
      <c r="AE96" s="39"/>
      <c r="AF96" s="39"/>
      <c r="AG96" s="43"/>
      <c r="AH96" s="39"/>
    </row>
    <row r="97" spans="1:34">
      <c r="A97" s="35" t="s">
        <v>46</v>
      </c>
      <c r="B97" s="35" t="s">
        <v>82</v>
      </c>
      <c r="C97" s="39"/>
      <c r="D97" s="40" t="s">
        <v>75</v>
      </c>
      <c r="E97" s="36" t="s">
        <v>15</v>
      </c>
      <c r="F97" s="36">
        <v>-1.6937422741087</v>
      </c>
      <c r="G97" s="36">
        <f t="shared" ref="G97:K97" si="201">ABS(F97)</f>
        <v>1.6937422741087</v>
      </c>
      <c r="H97" s="39">
        <v>1.79504923484283</v>
      </c>
      <c r="I97" s="36">
        <f t="shared" si="201"/>
        <v>1.79504923484283</v>
      </c>
      <c r="J97" s="36">
        <v>0.471900687371474</v>
      </c>
      <c r="K97" s="36">
        <f t="shared" si="201"/>
        <v>0.471900687371474</v>
      </c>
      <c r="L97" s="39">
        <v>0.34541909268132</v>
      </c>
      <c r="M97" s="36">
        <f t="shared" ref="M97:Q97" si="202">ABS(L97)</f>
        <v>0.34541909268132</v>
      </c>
      <c r="N97" s="39">
        <v>-0.166150854714865</v>
      </c>
      <c r="O97" s="36">
        <f t="shared" si="202"/>
        <v>0.166150854714865</v>
      </c>
      <c r="P97" s="39">
        <v>0.15690193178187</v>
      </c>
      <c r="Q97" s="36">
        <f t="shared" si="202"/>
        <v>0.15690193178187</v>
      </c>
      <c r="R97" s="39">
        <f>G97+I97+K97+M97+O97+Q97</f>
        <v>4.62916407550106</v>
      </c>
      <c r="S97" s="39">
        <f t="shared" si="135"/>
        <v>36.5885124502823</v>
      </c>
      <c r="T97" s="39">
        <f t="shared" si="136"/>
        <v>38.7769628720394</v>
      </c>
      <c r="U97" s="39">
        <f t="shared" si="137"/>
        <v>10.1940799607626</v>
      </c>
      <c r="V97" s="39">
        <f t="shared" si="138"/>
        <v>7.46180275850196</v>
      </c>
      <c r="W97" s="39">
        <f t="shared" si="139"/>
        <v>3.58921939263691</v>
      </c>
      <c r="X97" s="39">
        <f t="shared" si="140"/>
        <v>3.38942256577689</v>
      </c>
      <c r="Y97" s="43"/>
      <c r="Z97" s="43">
        <v>0.787946438927575</v>
      </c>
      <c r="AA97" s="39"/>
      <c r="AB97" s="39"/>
      <c r="AC97" s="39"/>
      <c r="AD97" s="39"/>
      <c r="AE97" s="39"/>
      <c r="AF97" s="39"/>
      <c r="AG97" s="43"/>
      <c r="AH97" s="39"/>
    </row>
    <row r="98" spans="1:34">
      <c r="A98" s="35" t="s">
        <v>47</v>
      </c>
      <c r="B98" s="39"/>
      <c r="C98" s="39"/>
      <c r="D98" s="40" t="s">
        <v>75</v>
      </c>
      <c r="E98" s="36" t="s">
        <v>8</v>
      </c>
      <c r="F98" s="36">
        <v>1.08355480888576</v>
      </c>
      <c r="G98" s="36">
        <f t="shared" ref="G98:K98" si="203">ABS(F98)</f>
        <v>1.08355480888576</v>
      </c>
      <c r="H98" s="39">
        <v>0.203629356280105</v>
      </c>
      <c r="I98" s="36">
        <f t="shared" si="203"/>
        <v>0.203629356280105</v>
      </c>
      <c r="J98" s="36">
        <v>-0.421506973684612</v>
      </c>
      <c r="K98" s="36">
        <f t="shared" si="203"/>
        <v>0.421506973684612</v>
      </c>
      <c r="L98" s="39">
        <v>-0.50268751206895</v>
      </c>
      <c r="M98" s="36">
        <f t="shared" ref="M98:Q98" si="204">ABS(L98)</f>
        <v>0.50268751206895</v>
      </c>
      <c r="N98" s="39">
        <v>0.553851816690964</v>
      </c>
      <c r="O98" s="36">
        <f t="shared" si="204"/>
        <v>0.553851816690964</v>
      </c>
      <c r="P98" s="39">
        <v>-0.943077576952682</v>
      </c>
      <c r="Q98" s="36">
        <f t="shared" si="204"/>
        <v>0.943077576952682</v>
      </c>
      <c r="R98" s="39">
        <f>G98+I98+K98+M98+O98+Q98+G99+I99+K99+M99</f>
        <v>5.00749547743196</v>
      </c>
      <c r="S98" s="39">
        <f t="shared" si="135"/>
        <v>21.6386577635303</v>
      </c>
      <c r="T98" s="39">
        <f t="shared" si="136"/>
        <v>4.06649106719781</v>
      </c>
      <c r="U98" s="39">
        <f t="shared" si="137"/>
        <v>8.41752080624498</v>
      </c>
      <c r="V98" s="39">
        <f t="shared" si="138"/>
        <v>10.0387012696165</v>
      </c>
      <c r="W98" s="39">
        <f t="shared" si="139"/>
        <v>11.0604556546699</v>
      </c>
      <c r="X98" s="39">
        <f t="shared" si="140"/>
        <v>18.8333185961524</v>
      </c>
      <c r="Y98" s="43"/>
      <c r="Z98" s="43">
        <v>0.377248370969986</v>
      </c>
      <c r="AA98" s="39"/>
      <c r="AB98" s="39"/>
      <c r="AC98" s="39"/>
      <c r="AD98" s="39"/>
      <c r="AE98" s="39"/>
      <c r="AF98" s="39"/>
      <c r="AG98" s="43"/>
      <c r="AH98" s="39"/>
    </row>
    <row r="99" spans="1:34">
      <c r="A99" s="35" t="s">
        <v>47</v>
      </c>
      <c r="B99" s="39"/>
      <c r="C99" s="39"/>
      <c r="D99" s="40" t="s">
        <v>75</v>
      </c>
      <c r="E99" s="36" t="s">
        <v>14</v>
      </c>
      <c r="F99" s="36">
        <v>-0.258532332777222</v>
      </c>
      <c r="G99" s="36">
        <f t="shared" ref="G99:K99" si="205">ABS(F99)</f>
        <v>0.258532332777222</v>
      </c>
      <c r="H99" s="39">
        <v>0.887735646211976</v>
      </c>
      <c r="I99" s="36">
        <f t="shared" si="205"/>
        <v>0.887735646211976</v>
      </c>
      <c r="J99" s="36">
        <v>0.00477174649242006</v>
      </c>
      <c r="K99" s="36">
        <f t="shared" si="205"/>
        <v>0.00477174649242006</v>
      </c>
      <c r="L99" s="39">
        <v>0.148147707387273</v>
      </c>
      <c r="M99" s="36">
        <f t="shared" ref="M99:Q99" si="206">ABS(L99)</f>
        <v>0.148147707387273</v>
      </c>
      <c r="N99" s="39">
        <v>0.553851816690964</v>
      </c>
      <c r="O99" s="36">
        <f t="shared" si="206"/>
        <v>0.553851816690964</v>
      </c>
      <c r="P99" s="39">
        <v>0.0484702798296774</v>
      </c>
      <c r="Q99" s="36">
        <f t="shared" si="206"/>
        <v>0.0484702798296774</v>
      </c>
      <c r="R99" s="39">
        <v>5.00749547743196</v>
      </c>
      <c r="S99" s="39">
        <f t="shared" si="135"/>
        <v>5.16290696501652</v>
      </c>
      <c r="T99" s="39">
        <f t="shared" si="136"/>
        <v>17.7281367544488</v>
      </c>
      <c r="U99" s="39">
        <f t="shared" si="137"/>
        <v>0.0952920779244957</v>
      </c>
      <c r="V99" s="39">
        <f t="shared" si="138"/>
        <v>2.9585190451984</v>
      </c>
      <c r="W99" s="39">
        <f t="shared" si="139"/>
        <v>11.0604556546699</v>
      </c>
      <c r="X99" s="39">
        <f t="shared" si="140"/>
        <v>0.967954540311135</v>
      </c>
      <c r="Y99" s="43"/>
      <c r="Z99" s="43">
        <v>0.471290684650423</v>
      </c>
      <c r="AA99" s="39"/>
      <c r="AB99" s="39"/>
      <c r="AC99" s="39"/>
      <c r="AD99" s="39"/>
      <c r="AE99" s="39"/>
      <c r="AF99" s="39"/>
      <c r="AG99" s="43"/>
      <c r="AH99" s="39"/>
    </row>
    <row r="100" spans="1:34">
      <c r="A100" s="35" t="s">
        <v>47</v>
      </c>
      <c r="B100" s="39"/>
      <c r="C100" s="39"/>
      <c r="D100" s="40" t="s">
        <v>75</v>
      </c>
      <c r="E100" s="36" t="s">
        <v>15</v>
      </c>
      <c r="F100" s="36">
        <v>1.01840301415936</v>
      </c>
      <c r="G100" s="36">
        <f t="shared" ref="G100:K100" si="207">ABS(F100)</f>
        <v>1.01840301415936</v>
      </c>
      <c r="H100" s="39">
        <v>0.604491619159723</v>
      </c>
      <c r="I100" s="36">
        <f t="shared" si="207"/>
        <v>0.604491619159723</v>
      </c>
      <c r="J100" s="36">
        <v>-0.547377955775517</v>
      </c>
      <c r="K100" s="36">
        <f t="shared" si="207"/>
        <v>0.547377955775517</v>
      </c>
      <c r="L100" s="39">
        <v>0.518403761415717</v>
      </c>
      <c r="M100" s="36">
        <f t="shared" ref="M100:Q100" si="208">ABS(L100)</f>
        <v>0.518403761415717</v>
      </c>
      <c r="N100" s="39">
        <v>0.334676368279466</v>
      </c>
      <c r="O100" s="36">
        <f t="shared" si="208"/>
        <v>0.334676368279466</v>
      </c>
      <c r="P100" s="39">
        <v>-0.61885830408275</v>
      </c>
      <c r="Q100" s="36">
        <f t="shared" si="208"/>
        <v>0.61885830408275</v>
      </c>
      <c r="R100" s="39">
        <f>G100+I100+K100+M100+O100+Q100</f>
        <v>3.64221102287253</v>
      </c>
      <c r="S100" s="39">
        <f t="shared" si="135"/>
        <v>27.9611205326639</v>
      </c>
      <c r="T100" s="39">
        <f t="shared" si="136"/>
        <v>16.5968313028434</v>
      </c>
      <c r="U100" s="39">
        <f t="shared" si="137"/>
        <v>15.0287271203691</v>
      </c>
      <c r="V100" s="39">
        <f t="shared" si="138"/>
        <v>14.2332159822762</v>
      </c>
      <c r="W100" s="39">
        <f t="shared" si="139"/>
        <v>9.18882421083647</v>
      </c>
      <c r="X100" s="39">
        <f t="shared" si="140"/>
        <v>16.9912808510109</v>
      </c>
      <c r="Y100" s="43"/>
      <c r="Z100" s="43">
        <v>0.681194200413814</v>
      </c>
      <c r="AA100" s="39"/>
      <c r="AB100" s="39"/>
      <c r="AC100" s="39"/>
      <c r="AD100" s="39"/>
      <c r="AE100" s="39"/>
      <c r="AF100" s="39"/>
      <c r="AG100" s="43"/>
      <c r="AH100" s="39"/>
    </row>
    <row r="101" spans="1:34">
      <c r="A101" s="35" t="s">
        <v>48</v>
      </c>
      <c r="B101" s="39"/>
      <c r="C101" s="39"/>
      <c r="D101" s="40" t="s">
        <v>75</v>
      </c>
      <c r="E101" s="36" t="s">
        <v>8</v>
      </c>
      <c r="F101" s="36">
        <v>0.350021761851916</v>
      </c>
      <c r="G101" s="36">
        <f t="shared" ref="G101:K101" si="209">ABS(F101)</f>
        <v>0.350021761851916</v>
      </c>
      <c r="H101" s="39">
        <v>-0.305713864513309</v>
      </c>
      <c r="I101" s="36">
        <f t="shared" si="209"/>
        <v>0.305713864513309</v>
      </c>
      <c r="J101" s="36">
        <v>-0.0877908716846354</v>
      </c>
      <c r="K101" s="36">
        <f t="shared" si="209"/>
        <v>0.0877908716846354</v>
      </c>
      <c r="L101" s="39">
        <v>-0.208673379472297</v>
      </c>
      <c r="M101" s="36">
        <f t="shared" ref="M101:Q101" si="210">ABS(L101)</f>
        <v>0.208673379472297</v>
      </c>
      <c r="N101" s="39">
        <v>-0.182841132341676</v>
      </c>
      <c r="O101" s="36">
        <f t="shared" si="210"/>
        <v>0.182841132341676</v>
      </c>
      <c r="P101" s="39">
        <v>0.13312233003275</v>
      </c>
      <c r="Q101" s="36">
        <f t="shared" si="210"/>
        <v>0.13312233003275</v>
      </c>
      <c r="R101" s="39">
        <f>G101+I101+K101+M101+O101+Q101+G102+I102+K102+M102</f>
        <v>3.05224842908688</v>
      </c>
      <c r="S101" s="39">
        <f t="shared" si="135"/>
        <v>11.4676694896892</v>
      </c>
      <c r="T101" s="39">
        <f t="shared" si="136"/>
        <v>10.0160216842102</v>
      </c>
      <c r="U101" s="39">
        <f t="shared" si="137"/>
        <v>2.87626887929627</v>
      </c>
      <c r="V101" s="39">
        <f t="shared" si="138"/>
        <v>6.8367101931714</v>
      </c>
      <c r="W101" s="39">
        <f t="shared" si="139"/>
        <v>5.99037518044935</v>
      </c>
      <c r="X101" s="39">
        <f t="shared" si="140"/>
        <v>4.3614513407277</v>
      </c>
      <c r="Y101" s="43"/>
      <c r="Z101" s="43">
        <v>0.577952043329825</v>
      </c>
      <c r="AA101" s="39"/>
      <c r="AB101" s="39"/>
      <c r="AC101" s="39"/>
      <c r="AD101" s="39"/>
      <c r="AE101" s="39"/>
      <c r="AF101" s="39"/>
      <c r="AG101" s="43"/>
      <c r="AH101" s="39"/>
    </row>
    <row r="102" spans="1:34">
      <c r="A102" s="35" t="s">
        <v>48</v>
      </c>
      <c r="B102" s="39"/>
      <c r="C102" s="39"/>
      <c r="D102" s="40" t="s">
        <v>75</v>
      </c>
      <c r="E102" s="36" t="s">
        <v>14</v>
      </c>
      <c r="F102" s="36">
        <v>1.02381859681786</v>
      </c>
      <c r="G102" s="36">
        <f t="shared" ref="G102:K102" si="211">ABS(F102)</f>
        <v>1.02381859681786</v>
      </c>
      <c r="H102" s="39">
        <v>0.160297123786268</v>
      </c>
      <c r="I102" s="36">
        <f t="shared" si="211"/>
        <v>0.160297123786268</v>
      </c>
      <c r="J102" s="36">
        <v>0.168990773455243</v>
      </c>
      <c r="K102" s="36">
        <f t="shared" si="211"/>
        <v>0.168990773455243</v>
      </c>
      <c r="L102" s="39">
        <v>0.43097859513093</v>
      </c>
      <c r="M102" s="36">
        <f t="shared" ref="M102:Q102" si="212">ABS(L102)</f>
        <v>0.43097859513093</v>
      </c>
      <c r="N102" s="39">
        <v>-0.182841132341676</v>
      </c>
      <c r="O102" s="36">
        <f t="shared" si="212"/>
        <v>0.182841132341676</v>
      </c>
      <c r="P102" s="39">
        <v>-0.459838990409452</v>
      </c>
      <c r="Q102" s="36">
        <f t="shared" si="212"/>
        <v>0.459838990409452</v>
      </c>
      <c r="R102" s="39">
        <v>3.05224842908688</v>
      </c>
      <c r="S102" s="39">
        <f t="shared" si="135"/>
        <v>33.5430952166678</v>
      </c>
      <c r="T102" s="39">
        <f t="shared" si="136"/>
        <v>5.25177184984982</v>
      </c>
      <c r="U102" s="39">
        <f t="shared" si="137"/>
        <v>5.5365995718048</v>
      </c>
      <c r="V102" s="39">
        <f t="shared" si="138"/>
        <v>14.1200365941334</v>
      </c>
      <c r="W102" s="39">
        <f t="shared" si="139"/>
        <v>5.99037518044936</v>
      </c>
      <c r="X102" s="39">
        <f t="shared" si="140"/>
        <v>15.0655820157804</v>
      </c>
      <c r="Y102" s="43"/>
      <c r="Z102" s="43">
        <v>0.866071744817542</v>
      </c>
      <c r="AA102" s="39"/>
      <c r="AB102" s="39"/>
      <c r="AC102" s="39"/>
      <c r="AD102" s="39"/>
      <c r="AE102" s="39"/>
      <c r="AF102" s="39"/>
      <c r="AG102" s="43"/>
      <c r="AH102" s="39"/>
    </row>
    <row r="103" spans="1:34">
      <c r="A103" s="35" t="s">
        <v>48</v>
      </c>
      <c r="B103" s="39"/>
      <c r="C103" s="39"/>
      <c r="D103" s="40" t="s">
        <v>75</v>
      </c>
      <c r="E103" s="36" t="s">
        <v>15</v>
      </c>
      <c r="F103" s="36">
        <v>-0.281217172662879</v>
      </c>
      <c r="G103" s="36">
        <f t="shared" ref="G103:K103" si="213">ABS(F103)</f>
        <v>0.281217172662879</v>
      </c>
      <c r="H103" s="39">
        <v>1.52492630346893</v>
      </c>
      <c r="I103" s="36">
        <f t="shared" si="213"/>
        <v>1.52492630346893</v>
      </c>
      <c r="J103" s="36">
        <v>0.0613353551479186</v>
      </c>
      <c r="K103" s="36">
        <f t="shared" si="213"/>
        <v>0.0613353551479186</v>
      </c>
      <c r="L103" s="39">
        <v>0.401562266428077</v>
      </c>
      <c r="M103" s="36">
        <f t="shared" ref="M103:Q103" si="214">ABS(L103)</f>
        <v>0.401562266428077</v>
      </c>
      <c r="N103" s="39">
        <v>-0.16381454969929</v>
      </c>
      <c r="O103" s="36">
        <f t="shared" si="214"/>
        <v>0.16381454969929</v>
      </c>
      <c r="P103" s="39">
        <v>-0.243423401961385</v>
      </c>
      <c r="Q103" s="36">
        <f t="shared" si="214"/>
        <v>0.243423401961385</v>
      </c>
      <c r="R103" s="39">
        <f>G103+I103+K103+M103+O103+Q103</f>
        <v>2.67627904936848</v>
      </c>
      <c r="S103" s="39">
        <f t="shared" si="135"/>
        <v>10.5077672199107</v>
      </c>
      <c r="T103" s="39">
        <f t="shared" si="136"/>
        <v>56.9793461496015</v>
      </c>
      <c r="U103" s="39">
        <f t="shared" si="137"/>
        <v>2.29181464325971</v>
      </c>
      <c r="V103" s="39">
        <f t="shared" si="138"/>
        <v>15.0044991206292</v>
      </c>
      <c r="W103" s="39">
        <f t="shared" si="139"/>
        <v>6.12098165689954</v>
      </c>
      <c r="X103" s="39">
        <f t="shared" si="140"/>
        <v>9.09559120969936</v>
      </c>
      <c r="Y103" s="43"/>
      <c r="Z103" s="43">
        <v>0.821946572046526</v>
      </c>
      <c r="AA103" s="39"/>
      <c r="AB103" s="39"/>
      <c r="AC103" s="39"/>
      <c r="AD103" s="39"/>
      <c r="AE103" s="39"/>
      <c r="AF103" s="39"/>
      <c r="AG103" s="43"/>
      <c r="AH103" s="39"/>
    </row>
    <row r="104" spans="1:34">
      <c r="A104" s="35" t="s">
        <v>49</v>
      </c>
      <c r="B104" s="39"/>
      <c r="C104" s="39"/>
      <c r="D104" s="40" t="s">
        <v>75</v>
      </c>
      <c r="E104" s="36" t="s">
        <v>8</v>
      </c>
      <c r="F104" s="36">
        <v>-0.22273445657187</v>
      </c>
      <c r="G104" s="36">
        <f t="shared" ref="G104:K104" si="215">ABS(F104)</f>
        <v>0.22273445657187</v>
      </c>
      <c r="H104" s="39">
        <v>0.0865495697827261</v>
      </c>
      <c r="I104" s="36">
        <f t="shared" si="215"/>
        <v>0.0865495697827261</v>
      </c>
      <c r="J104" s="36">
        <v>0.153153834185853</v>
      </c>
      <c r="K104" s="36">
        <f t="shared" si="215"/>
        <v>0.153153834185853</v>
      </c>
      <c r="L104" s="39">
        <v>-0.152733824684684</v>
      </c>
      <c r="M104" s="36">
        <f t="shared" ref="M104:Q104" si="216">ABS(L104)</f>
        <v>0.152733824684684</v>
      </c>
      <c r="N104" s="39">
        <v>0.75577607394806</v>
      </c>
      <c r="O104" s="36">
        <f t="shared" si="216"/>
        <v>0.75577607394806</v>
      </c>
      <c r="P104" s="39">
        <v>-1.39043141322792</v>
      </c>
      <c r="Q104" s="36">
        <f t="shared" si="216"/>
        <v>1.39043141322792</v>
      </c>
      <c r="R104" s="39">
        <f>G104+I104+K104+M104+O104+Q104+G105+I105+K105+M105</f>
        <v>7.50657259703859</v>
      </c>
      <c r="S104" s="39">
        <f t="shared" si="135"/>
        <v>2.96719246623606</v>
      </c>
      <c r="T104" s="39">
        <f t="shared" si="136"/>
        <v>1.15298385067069</v>
      </c>
      <c r="U104" s="39">
        <f t="shared" si="137"/>
        <v>2.04026314547699</v>
      </c>
      <c r="V104" s="39">
        <f t="shared" si="138"/>
        <v>2.03466792214784</v>
      </c>
      <c r="W104" s="39">
        <f t="shared" si="139"/>
        <v>10.0681910975752</v>
      </c>
      <c r="X104" s="39">
        <f t="shared" si="140"/>
        <v>18.5228530764687</v>
      </c>
      <c r="Y104" s="43"/>
      <c r="Z104" s="43">
        <v>0.568511358446641</v>
      </c>
      <c r="AA104" s="39"/>
      <c r="AB104" s="39"/>
      <c r="AC104" s="39"/>
      <c r="AD104" s="39"/>
      <c r="AE104" s="39"/>
      <c r="AF104" s="39"/>
      <c r="AG104" s="43"/>
      <c r="AH104" s="39"/>
    </row>
    <row r="105" spans="1:34">
      <c r="A105" s="35" t="s">
        <v>49</v>
      </c>
      <c r="B105" s="39"/>
      <c r="C105" s="39"/>
      <c r="D105" s="40" t="s">
        <v>75</v>
      </c>
      <c r="E105" s="36" t="s">
        <v>14</v>
      </c>
      <c r="F105" s="36">
        <v>-1.16742773689499</v>
      </c>
      <c r="G105" s="36">
        <f t="shared" ref="G105:K105" si="217">ABS(F105)</f>
        <v>1.16742773689499</v>
      </c>
      <c r="H105" s="39">
        <v>3.05642915333106</v>
      </c>
      <c r="I105" s="36">
        <f t="shared" si="217"/>
        <v>3.05642915333106</v>
      </c>
      <c r="J105" s="36">
        <v>-0.28350333455763</v>
      </c>
      <c r="K105" s="36">
        <f t="shared" si="217"/>
        <v>0.28350333455763</v>
      </c>
      <c r="L105" s="39">
        <v>-0.237833199853798</v>
      </c>
      <c r="M105" s="36">
        <f t="shared" ref="M105:Q105" si="218">ABS(L105)</f>
        <v>0.237833199853798</v>
      </c>
      <c r="N105" s="39">
        <v>0.75577607394806</v>
      </c>
      <c r="O105" s="36">
        <f t="shared" si="218"/>
        <v>0.75577607394806</v>
      </c>
      <c r="P105" s="39">
        <v>-0.804893576763462</v>
      </c>
      <c r="Q105" s="36">
        <f t="shared" si="218"/>
        <v>0.804893576763462</v>
      </c>
      <c r="R105" s="39">
        <v>7.50657259703859</v>
      </c>
      <c r="S105" s="39">
        <f t="shared" si="135"/>
        <v>15.552074156394</v>
      </c>
      <c r="T105" s="39">
        <f t="shared" si="136"/>
        <v>40.7167067768964</v>
      </c>
      <c r="U105" s="39">
        <f t="shared" si="137"/>
        <v>3.77673473336519</v>
      </c>
      <c r="V105" s="39">
        <f t="shared" si="138"/>
        <v>3.16833277476894</v>
      </c>
      <c r="W105" s="39">
        <f t="shared" si="139"/>
        <v>10.0681910975752</v>
      </c>
      <c r="X105" s="39">
        <f t="shared" si="140"/>
        <v>10.7225177184192</v>
      </c>
      <c r="Y105" s="43"/>
      <c r="Z105" s="43">
        <v>0.766275732239282</v>
      </c>
      <c r="AA105" s="39"/>
      <c r="AB105" s="39"/>
      <c r="AC105" s="39"/>
      <c r="AD105" s="39"/>
      <c r="AE105" s="39"/>
      <c r="AF105" s="39"/>
      <c r="AG105" s="39"/>
      <c r="AH105" s="43"/>
    </row>
    <row r="106" spans="1:34">
      <c r="A106" s="35" t="s">
        <v>49</v>
      </c>
      <c r="B106" s="39"/>
      <c r="C106" s="39"/>
      <c r="D106" s="40" t="s">
        <v>75</v>
      </c>
      <c r="E106" s="36" t="s">
        <v>15</v>
      </c>
      <c r="F106" s="36">
        <v>-1.47805776412126</v>
      </c>
      <c r="G106" s="36">
        <f t="shared" ref="G106:K106" si="219">ABS(F106)</f>
        <v>1.47805776412126</v>
      </c>
      <c r="H106" s="39">
        <v>2.21469109352841</v>
      </c>
      <c r="I106" s="36">
        <f t="shared" si="219"/>
        <v>2.21469109352841</v>
      </c>
      <c r="J106" s="36">
        <v>0.326319776157508</v>
      </c>
      <c r="K106" s="36">
        <f t="shared" si="219"/>
        <v>0.326319776157508</v>
      </c>
      <c r="L106" s="39">
        <v>0.583443763670425</v>
      </c>
      <c r="M106" s="36">
        <f t="shared" ref="M106:Q106" si="220">ABS(L106)</f>
        <v>0.583443763670425</v>
      </c>
      <c r="N106" s="39">
        <v>-0.502145210594529</v>
      </c>
      <c r="O106" s="36">
        <f t="shared" si="220"/>
        <v>0.502145210594529</v>
      </c>
      <c r="P106" s="39">
        <v>0.208769080764311</v>
      </c>
      <c r="Q106" s="36">
        <f t="shared" si="220"/>
        <v>0.208769080764311</v>
      </c>
      <c r="R106" s="39">
        <f>G106+I106+K106+M106+O106+Q106</f>
        <v>5.31342668883644</v>
      </c>
      <c r="S106" s="39">
        <f t="shared" si="135"/>
        <v>27.817411449878</v>
      </c>
      <c r="T106" s="39">
        <f t="shared" si="136"/>
        <v>41.6810322833944</v>
      </c>
      <c r="U106" s="39">
        <f t="shared" si="137"/>
        <v>6.14141862243265</v>
      </c>
      <c r="V106" s="39">
        <f t="shared" si="138"/>
        <v>10.9805554463797</v>
      </c>
      <c r="W106" s="39">
        <f t="shared" si="139"/>
        <v>9.45049663806486</v>
      </c>
      <c r="X106" s="39">
        <f t="shared" si="140"/>
        <v>3.92908555985042</v>
      </c>
      <c r="Y106" s="43"/>
      <c r="Z106" s="43">
        <v>0.727550541578062</v>
      </c>
      <c r="AA106" s="39"/>
      <c r="AB106" s="39"/>
      <c r="AC106" s="39"/>
      <c r="AD106" s="39"/>
      <c r="AE106" s="39"/>
      <c r="AF106" s="39"/>
      <c r="AG106" s="39"/>
      <c r="AH106" s="43"/>
    </row>
    <row r="107" spans="1:34">
      <c r="A107" s="35" t="s">
        <v>50</v>
      </c>
      <c r="B107" s="39"/>
      <c r="C107" s="39"/>
      <c r="D107" s="40" t="s">
        <v>75</v>
      </c>
      <c r="E107" s="36" t="s">
        <v>8</v>
      </c>
      <c r="F107" s="36">
        <v>1.47096171598312</v>
      </c>
      <c r="G107" s="36">
        <f t="shared" ref="G107:K107" si="221">ABS(F107)</f>
        <v>1.47096171598312</v>
      </c>
      <c r="H107" s="39">
        <v>-0.18895580501574</v>
      </c>
      <c r="I107" s="36">
        <f t="shared" si="221"/>
        <v>0.18895580501574</v>
      </c>
      <c r="J107" s="36">
        <v>0.0135808061549808</v>
      </c>
      <c r="K107" s="36">
        <f t="shared" si="221"/>
        <v>0.0135808061549808</v>
      </c>
      <c r="L107" s="39">
        <v>-0.265935371108779</v>
      </c>
      <c r="M107" s="36">
        <f t="shared" ref="M107:Q107" si="222">ABS(L107)</f>
        <v>0.265935371108779</v>
      </c>
      <c r="N107" s="39">
        <v>-0.208166775250363</v>
      </c>
      <c r="O107" s="36">
        <f t="shared" si="222"/>
        <v>0.208166775250363</v>
      </c>
      <c r="P107" s="39">
        <v>0.174619532823302</v>
      </c>
      <c r="Q107" s="36">
        <f t="shared" si="222"/>
        <v>0.174619532823302</v>
      </c>
      <c r="R107" s="39">
        <f>G107+I107+K107+M107+O107+Q107+G108+I108+K108+M108</f>
        <v>4.13437284932565</v>
      </c>
      <c r="S107" s="39">
        <f t="shared" si="135"/>
        <v>35.5788355233381</v>
      </c>
      <c r="T107" s="39">
        <f t="shared" si="136"/>
        <v>4.57036198480648</v>
      </c>
      <c r="U107" s="39">
        <f t="shared" si="137"/>
        <v>0.328485278176978</v>
      </c>
      <c r="V107" s="39">
        <f t="shared" si="138"/>
        <v>6.43230257165015</v>
      </c>
      <c r="W107" s="39">
        <f t="shared" si="139"/>
        <v>5.03502666152418</v>
      </c>
      <c r="X107" s="39">
        <f t="shared" si="140"/>
        <v>4.22360389803218</v>
      </c>
      <c r="Y107" s="43"/>
      <c r="Z107" s="43">
        <v>0.797407304118688</v>
      </c>
      <c r="AA107" s="39"/>
      <c r="AB107" s="39"/>
      <c r="AC107" s="39"/>
      <c r="AD107" s="39"/>
      <c r="AE107" s="39"/>
      <c r="AF107" s="39"/>
      <c r="AG107" s="39"/>
      <c r="AH107" s="43"/>
    </row>
    <row r="108" spans="1:34">
      <c r="A108" s="35" t="s">
        <v>50</v>
      </c>
      <c r="B108" s="39"/>
      <c r="C108" s="39"/>
      <c r="D108" s="40" t="s">
        <v>75</v>
      </c>
      <c r="E108" s="36" t="s">
        <v>14</v>
      </c>
      <c r="F108" s="36">
        <v>0.0584997143249125</v>
      </c>
      <c r="G108" s="36">
        <f t="shared" ref="G108:K108" si="223">ABS(F108)</f>
        <v>0.0584997143249125</v>
      </c>
      <c r="H108" s="39">
        <v>1.21621764915872</v>
      </c>
      <c r="I108" s="36">
        <f t="shared" si="223"/>
        <v>1.21621764915872</v>
      </c>
      <c r="J108" s="36">
        <v>0.31003504219862</v>
      </c>
      <c r="K108" s="36">
        <f t="shared" si="223"/>
        <v>0.31003504219862</v>
      </c>
      <c r="L108" s="39">
        <v>0.227400437307109</v>
      </c>
      <c r="M108" s="36">
        <f t="shared" ref="M108:Q108" si="224">ABS(L108)</f>
        <v>0.227400437307109</v>
      </c>
      <c r="N108" s="39">
        <v>-0.208166775250363</v>
      </c>
      <c r="O108" s="36">
        <f t="shared" si="224"/>
        <v>0.208166775250363</v>
      </c>
      <c r="P108" s="39">
        <v>-0.640463016903814</v>
      </c>
      <c r="Q108" s="36">
        <f t="shared" si="224"/>
        <v>0.640463016903814</v>
      </c>
      <c r="R108" s="39">
        <v>4.13437284932565</v>
      </c>
      <c r="S108" s="39">
        <f t="shared" si="135"/>
        <v>1.41495981269455</v>
      </c>
      <c r="T108" s="39">
        <f t="shared" si="136"/>
        <v>29.4172222361874</v>
      </c>
      <c r="U108" s="39">
        <f t="shared" si="137"/>
        <v>7.49896183768692</v>
      </c>
      <c r="V108" s="39">
        <f t="shared" si="138"/>
        <v>5.50024019590299</v>
      </c>
      <c r="W108" s="39">
        <f t="shared" si="139"/>
        <v>5.03502666152417</v>
      </c>
      <c r="X108" s="39">
        <f t="shared" si="140"/>
        <v>15.4911770235788</v>
      </c>
      <c r="Y108" s="43"/>
      <c r="Z108" s="43">
        <v>0.836396441969655</v>
      </c>
      <c r="AA108" s="39"/>
      <c r="AB108" s="39"/>
      <c r="AC108" s="39"/>
      <c r="AD108" s="39"/>
      <c r="AE108" s="39"/>
      <c r="AF108" s="39"/>
      <c r="AG108" s="43"/>
      <c r="AH108" s="43"/>
    </row>
    <row r="109" spans="1:34">
      <c r="A109" s="35" t="s">
        <v>50</v>
      </c>
      <c r="B109" s="39"/>
      <c r="C109" s="39"/>
      <c r="D109" s="40" t="s">
        <v>75</v>
      </c>
      <c r="E109" s="36" t="s">
        <v>15</v>
      </c>
      <c r="F109" s="36">
        <v>0.703162634983769</v>
      </c>
      <c r="G109" s="36">
        <f t="shared" ref="G109:K109" si="225">ABS(F109)</f>
        <v>0.703162634983769</v>
      </c>
      <c r="H109" s="39">
        <v>1.24290833031381</v>
      </c>
      <c r="I109" s="36">
        <f t="shared" si="225"/>
        <v>1.24290833031381</v>
      </c>
      <c r="J109" s="36">
        <v>0.387556678429289</v>
      </c>
      <c r="K109" s="36">
        <f t="shared" si="225"/>
        <v>0.387556678429289</v>
      </c>
      <c r="L109" s="39">
        <v>0.508436334449878</v>
      </c>
      <c r="M109" s="36">
        <f t="shared" ref="M109:Q109" si="226">ABS(L109)</f>
        <v>0.508436334449878</v>
      </c>
      <c r="N109" s="39">
        <v>-0.252845879835294</v>
      </c>
      <c r="O109" s="36">
        <f t="shared" si="226"/>
        <v>0.252845879835294</v>
      </c>
      <c r="P109" s="39">
        <v>0.0108720729840706</v>
      </c>
      <c r="Q109" s="36">
        <f t="shared" si="226"/>
        <v>0.0108720729840706</v>
      </c>
      <c r="R109" s="39">
        <f>G109+I109+K109+M109+O109+Q109</f>
        <v>3.10578193099611</v>
      </c>
      <c r="S109" s="39">
        <f t="shared" si="135"/>
        <v>22.6404380798959</v>
      </c>
      <c r="T109" s="39">
        <f t="shared" si="136"/>
        <v>40.0191757801609</v>
      </c>
      <c r="U109" s="39">
        <f t="shared" si="137"/>
        <v>12.4785540981298</v>
      </c>
      <c r="V109" s="39">
        <f t="shared" si="138"/>
        <v>16.3706385620837</v>
      </c>
      <c r="W109" s="39">
        <f t="shared" si="139"/>
        <v>8.14113435691859</v>
      </c>
      <c r="X109" s="39">
        <f t="shared" si="140"/>
        <v>0.350059122811099</v>
      </c>
      <c r="Y109" s="43"/>
      <c r="Z109" s="43">
        <v>0.858804570748326</v>
      </c>
      <c r="AA109" s="39"/>
      <c r="AB109" s="39"/>
      <c r="AC109" s="39"/>
      <c r="AD109" s="39"/>
      <c r="AE109" s="39"/>
      <c r="AF109" s="39"/>
      <c r="AG109" s="43"/>
      <c r="AH109" s="43"/>
    </row>
    <row r="110" spans="1:34">
      <c r="A110" s="35" t="s">
        <v>51</v>
      </c>
      <c r="B110" s="39"/>
      <c r="C110" s="39"/>
      <c r="D110" s="40" t="s">
        <v>75</v>
      </c>
      <c r="E110" s="36" t="s">
        <v>8</v>
      </c>
      <c r="F110" s="36">
        <v>0.65612157133645</v>
      </c>
      <c r="G110" s="36">
        <f t="shared" ref="G110:K110" si="227">ABS(F110)</f>
        <v>0.65612157133645</v>
      </c>
      <c r="H110" s="39">
        <v>0.0713576925348576</v>
      </c>
      <c r="I110" s="36">
        <f t="shared" si="227"/>
        <v>0.0713576925348576</v>
      </c>
      <c r="J110" s="36">
        <v>-0.122588228136346</v>
      </c>
      <c r="K110" s="36">
        <f t="shared" si="227"/>
        <v>0.122588228136346</v>
      </c>
      <c r="L110" s="39">
        <v>-0.0700721837426199</v>
      </c>
      <c r="M110" s="36">
        <f t="shared" ref="M110:Q110" si="228">ABS(L110)</f>
        <v>0.0700721837426199</v>
      </c>
      <c r="N110" s="39">
        <v>-0.114391234728938</v>
      </c>
      <c r="O110" s="36">
        <f t="shared" si="228"/>
        <v>0.114391234728938</v>
      </c>
      <c r="P110" s="39">
        <v>-0.139043361370735</v>
      </c>
      <c r="Q110" s="36">
        <f t="shared" si="228"/>
        <v>0.139043361370735</v>
      </c>
      <c r="R110" s="39">
        <f>G110+I110+K110+M110+O110+Q110+G111+I111+K111+M111</f>
        <v>2.18286332054252</v>
      </c>
      <c r="S110" s="39">
        <f t="shared" si="135"/>
        <v>30.0578403220125</v>
      </c>
      <c r="T110" s="39">
        <f t="shared" si="136"/>
        <v>3.2689949876075</v>
      </c>
      <c r="U110" s="39">
        <f t="shared" si="137"/>
        <v>5.61593696603406</v>
      </c>
      <c r="V110" s="39">
        <f t="shared" si="138"/>
        <v>3.21010404468221</v>
      </c>
      <c r="W110" s="39">
        <f t="shared" si="139"/>
        <v>5.24042131508755</v>
      </c>
      <c r="X110" s="39">
        <f t="shared" si="140"/>
        <v>6.36976947032019</v>
      </c>
      <c r="Y110" s="43"/>
      <c r="Z110" s="43">
        <v>0.545868664396837</v>
      </c>
      <c r="AA110" s="39"/>
      <c r="AB110" s="39"/>
      <c r="AC110" s="39"/>
      <c r="AD110" s="39"/>
      <c r="AE110" s="39"/>
      <c r="AF110" s="39"/>
      <c r="AG110" s="43"/>
      <c r="AH110" s="43"/>
    </row>
    <row r="111" spans="1:34">
      <c r="A111" s="35" t="s">
        <v>51</v>
      </c>
      <c r="B111" s="39"/>
      <c r="C111" s="39"/>
      <c r="D111" s="40" t="s">
        <v>75</v>
      </c>
      <c r="E111" s="36" t="s">
        <v>14</v>
      </c>
      <c r="F111" s="36">
        <v>0.0247969443716888</v>
      </c>
      <c r="G111" s="36">
        <f t="shared" ref="G111:K111" si="229">ABS(F111)</f>
        <v>0.0247969443716888</v>
      </c>
      <c r="H111" s="39">
        <v>0.747268231741947</v>
      </c>
      <c r="I111" s="36">
        <f t="shared" si="229"/>
        <v>0.747268231741947</v>
      </c>
      <c r="J111" s="36">
        <v>-0.0863376084177818</v>
      </c>
      <c r="K111" s="36">
        <f t="shared" si="229"/>
        <v>0.0863376084177818</v>
      </c>
      <c r="L111" s="39">
        <v>0.150886264161156</v>
      </c>
      <c r="M111" s="36">
        <f t="shared" ref="M111:Q111" si="230">ABS(L111)</f>
        <v>0.150886264161156</v>
      </c>
      <c r="N111" s="39">
        <v>-0.114391234728938</v>
      </c>
      <c r="O111" s="36">
        <f t="shared" si="230"/>
        <v>0.114391234728938</v>
      </c>
      <c r="P111" s="39">
        <v>-0.161299252171209</v>
      </c>
      <c r="Q111" s="36">
        <f t="shared" si="230"/>
        <v>0.161299252171209</v>
      </c>
      <c r="R111" s="39">
        <v>2.18286332054252</v>
      </c>
      <c r="S111" s="39">
        <f t="shared" si="135"/>
        <v>1.13598245654363</v>
      </c>
      <c r="T111" s="39">
        <f t="shared" si="136"/>
        <v>34.2333954082028</v>
      </c>
      <c r="U111" s="39">
        <f t="shared" si="137"/>
        <v>3.95524573642677</v>
      </c>
      <c r="V111" s="39">
        <f t="shared" si="138"/>
        <v>6.91230929308278</v>
      </c>
      <c r="W111" s="39">
        <f t="shared" si="139"/>
        <v>5.24042131508755</v>
      </c>
      <c r="X111" s="39">
        <f t="shared" si="140"/>
        <v>7.38934273407097</v>
      </c>
      <c r="Y111" s="43"/>
      <c r="Z111" s="43">
        <v>0.805717224077842</v>
      </c>
      <c r="AA111" s="39"/>
      <c r="AB111" s="39"/>
      <c r="AC111" s="39"/>
      <c r="AD111" s="39"/>
      <c r="AE111" s="39"/>
      <c r="AF111" s="39"/>
      <c r="AG111" s="43"/>
      <c r="AH111" s="43"/>
    </row>
    <row r="112" spans="1:34">
      <c r="A112" s="35" t="s">
        <v>51</v>
      </c>
      <c r="B112" s="39"/>
      <c r="C112" s="39"/>
      <c r="D112" s="40" t="s">
        <v>75</v>
      </c>
      <c r="E112" s="36" t="s">
        <v>15</v>
      </c>
      <c r="F112" s="36">
        <v>0.307264284738</v>
      </c>
      <c r="G112" s="36">
        <f t="shared" ref="G112:K112" si="231">ABS(F112)</f>
        <v>0.307264284738</v>
      </c>
      <c r="H112" s="39">
        <v>0.913710098040674</v>
      </c>
      <c r="I112" s="36">
        <f t="shared" si="231"/>
        <v>0.913710098040674</v>
      </c>
      <c r="J112" s="36">
        <v>-0.156817307416024</v>
      </c>
      <c r="K112" s="36">
        <f t="shared" si="231"/>
        <v>0.156817307416024</v>
      </c>
      <c r="L112" s="39">
        <v>0.31388538278516</v>
      </c>
      <c r="M112" s="36">
        <f t="shared" ref="M112:Q112" si="232">ABS(L112)</f>
        <v>0.31388538278516</v>
      </c>
      <c r="N112" s="39">
        <v>-0.184894650599277</v>
      </c>
      <c r="O112" s="36">
        <f t="shared" si="232"/>
        <v>0.184894650599277</v>
      </c>
      <c r="P112" s="39">
        <v>-0.189540954527793</v>
      </c>
      <c r="Q112" s="36">
        <f t="shared" si="232"/>
        <v>0.189540954527793</v>
      </c>
      <c r="R112" s="39">
        <f>G112+I112+K112+M112+O112+Q112</f>
        <v>2.06611267810693</v>
      </c>
      <c r="S112" s="39">
        <f t="shared" si="135"/>
        <v>14.8716131503307</v>
      </c>
      <c r="T112" s="39">
        <f t="shared" si="136"/>
        <v>44.2236334795573</v>
      </c>
      <c r="U112" s="39">
        <f t="shared" si="137"/>
        <v>7.58996878910339</v>
      </c>
      <c r="V112" s="39">
        <f t="shared" si="138"/>
        <v>15.1920747649038</v>
      </c>
      <c r="W112" s="39">
        <f t="shared" si="139"/>
        <v>8.94891418839201</v>
      </c>
      <c r="X112" s="39">
        <f t="shared" si="140"/>
        <v>9.17379562771279</v>
      </c>
      <c r="Y112" s="43"/>
      <c r="Z112" s="43">
        <v>0.899106866927496</v>
      </c>
      <c r="AA112" s="39"/>
      <c r="AB112" s="39"/>
      <c r="AC112" s="39"/>
      <c r="AD112" s="39"/>
      <c r="AE112" s="39"/>
      <c r="AF112" s="39"/>
      <c r="AG112" s="43"/>
      <c r="AH112" s="43"/>
    </row>
    <row r="113" spans="1:34">
      <c r="A113" s="35" t="s">
        <v>52</v>
      </c>
      <c r="B113" s="39"/>
      <c r="C113" s="39"/>
      <c r="D113" s="40" t="s">
        <v>75</v>
      </c>
      <c r="E113" s="36" t="s">
        <v>8</v>
      </c>
      <c r="F113" s="36">
        <v>0.00615930731243436</v>
      </c>
      <c r="G113" s="36">
        <f t="shared" ref="G113:K113" si="233">ABS(F113)</f>
        <v>0.00615930731243436</v>
      </c>
      <c r="H113" s="39">
        <v>-0.264218944021863</v>
      </c>
      <c r="I113" s="36">
        <f t="shared" si="233"/>
        <v>0.264218944021863</v>
      </c>
      <c r="J113" s="36">
        <v>0.469691957932731</v>
      </c>
      <c r="K113" s="36">
        <f t="shared" si="233"/>
        <v>0.469691957932731</v>
      </c>
      <c r="L113" s="39">
        <v>-0.064856214092347</v>
      </c>
      <c r="M113" s="36">
        <f t="shared" ref="M113:Q113" si="234">ABS(L113)</f>
        <v>0.064856214092347</v>
      </c>
      <c r="N113" s="39">
        <v>-0.378765360066412</v>
      </c>
      <c r="O113" s="36">
        <f t="shared" si="234"/>
        <v>0.378765360066412</v>
      </c>
      <c r="P113" s="39">
        <v>0.411312264943689</v>
      </c>
      <c r="Q113" s="36">
        <f t="shared" si="234"/>
        <v>0.411312264943689</v>
      </c>
      <c r="R113" s="39">
        <f>G113+I113+K113+M113+O113+Q113+G114+I114+K114+M114</f>
        <v>2.53312137418074</v>
      </c>
      <c r="S113" s="39">
        <f t="shared" si="135"/>
        <v>0.243150895776812</v>
      </c>
      <c r="T113" s="39">
        <f t="shared" si="136"/>
        <v>10.4305678644126</v>
      </c>
      <c r="U113" s="39">
        <f t="shared" si="137"/>
        <v>18.542023399279</v>
      </c>
      <c r="V113" s="39">
        <f t="shared" si="138"/>
        <v>2.5603279319106</v>
      </c>
      <c r="W113" s="39">
        <f t="shared" si="139"/>
        <v>14.9525152614889</v>
      </c>
      <c r="X113" s="39">
        <f t="shared" si="140"/>
        <v>16.237369007899</v>
      </c>
      <c r="Y113" s="43"/>
      <c r="Z113" s="43">
        <v>0.459438667558102</v>
      </c>
      <c r="AA113" s="39"/>
      <c r="AB113" s="39"/>
      <c r="AC113" s="39"/>
      <c r="AD113" s="39"/>
      <c r="AE113" s="39"/>
      <c r="AF113" s="39"/>
      <c r="AG113" s="43"/>
      <c r="AH113" s="43"/>
    </row>
    <row r="114" spans="1:34">
      <c r="A114" s="35" t="s">
        <v>52</v>
      </c>
      <c r="B114" s="39"/>
      <c r="C114" s="39"/>
      <c r="D114" s="40" t="s">
        <v>75</v>
      </c>
      <c r="E114" s="36" t="s">
        <v>14</v>
      </c>
      <c r="F114" s="36">
        <v>-0.193513313052365</v>
      </c>
      <c r="G114" s="36">
        <f t="shared" ref="G114:K114" si="235">ABS(F114)</f>
        <v>0.193513313052365</v>
      </c>
      <c r="H114" s="39">
        <v>0.492756528271623</v>
      </c>
      <c r="I114" s="36">
        <f t="shared" si="235"/>
        <v>0.492756528271623</v>
      </c>
      <c r="J114" s="36">
        <v>0.237680832185272</v>
      </c>
      <c r="K114" s="36">
        <f t="shared" si="235"/>
        <v>0.237680832185272</v>
      </c>
      <c r="L114" s="39">
        <v>0.0141666523020014</v>
      </c>
      <c r="M114" s="36">
        <f t="shared" ref="M114:Q114" si="236">ABS(L114)</f>
        <v>0.0141666523020014</v>
      </c>
      <c r="N114" s="39">
        <v>-0.378765360066412</v>
      </c>
      <c r="O114" s="36">
        <f t="shared" si="236"/>
        <v>0.378765360066412</v>
      </c>
      <c r="P114" s="39">
        <v>-0.00103094043224033</v>
      </c>
      <c r="Q114" s="36">
        <f t="shared" si="236"/>
        <v>0.00103094043224033</v>
      </c>
      <c r="R114" s="39">
        <v>2.53312137418074</v>
      </c>
      <c r="S114" s="39">
        <f t="shared" si="135"/>
        <v>7.63932257746437</v>
      </c>
      <c r="T114" s="39">
        <f t="shared" si="136"/>
        <v>19.4525431467329</v>
      </c>
      <c r="U114" s="39">
        <f t="shared" si="137"/>
        <v>9.38292316380389</v>
      </c>
      <c r="V114" s="39">
        <f t="shared" si="138"/>
        <v>0.559256751231795</v>
      </c>
      <c r="W114" s="39">
        <f t="shared" si="139"/>
        <v>14.9525152614889</v>
      </c>
      <c r="X114" s="39">
        <f t="shared" si="140"/>
        <v>0.0406984222212311</v>
      </c>
      <c r="Y114" s="43"/>
      <c r="Z114" s="43">
        <v>0.754372872138824</v>
      </c>
      <c r="AA114" s="39"/>
      <c r="AB114" s="39"/>
      <c r="AC114" s="39"/>
      <c r="AD114" s="39"/>
      <c r="AE114" s="39"/>
      <c r="AF114" s="39"/>
      <c r="AG114" s="43"/>
      <c r="AH114" s="43"/>
    </row>
    <row r="115" spans="1:34">
      <c r="A115" s="35" t="s">
        <v>52</v>
      </c>
      <c r="B115" s="39"/>
      <c r="C115" s="39"/>
      <c r="D115" s="40" t="s">
        <v>75</v>
      </c>
      <c r="E115" s="36" t="s">
        <v>15</v>
      </c>
      <c r="F115" s="36">
        <v>-0.0601022919996973</v>
      </c>
      <c r="G115" s="36">
        <f t="shared" ref="G115:K115" si="237">ABS(F115)</f>
        <v>0.0601022919996973</v>
      </c>
      <c r="H115" s="39">
        <v>0.189508164391187</v>
      </c>
      <c r="I115" s="36">
        <f t="shared" si="237"/>
        <v>0.189508164391187</v>
      </c>
      <c r="J115" s="36">
        <v>0.171511552282282</v>
      </c>
      <c r="K115" s="36">
        <f t="shared" si="237"/>
        <v>0.171511552282282</v>
      </c>
      <c r="L115" s="39">
        <v>0.0219113109534991</v>
      </c>
      <c r="M115" s="36">
        <f t="shared" ref="M115:Q115" si="238">ABS(L115)</f>
        <v>0.0219113109534991</v>
      </c>
      <c r="N115" s="39">
        <v>-0.0805385524406915</v>
      </c>
      <c r="O115" s="36">
        <f t="shared" si="238"/>
        <v>0.0805385524406915</v>
      </c>
      <c r="P115" s="39">
        <v>0.109358168461773</v>
      </c>
      <c r="Q115" s="36">
        <f t="shared" si="238"/>
        <v>0.109358168461773</v>
      </c>
      <c r="R115" s="39">
        <f>G115+I115+K115+M115+O115+Q115</f>
        <v>0.63293004052913</v>
      </c>
      <c r="S115" s="39">
        <f t="shared" si="135"/>
        <v>9.49588234893255</v>
      </c>
      <c r="T115" s="39">
        <f t="shared" si="136"/>
        <v>29.9414077790901</v>
      </c>
      <c r="U115" s="39">
        <f t="shared" si="137"/>
        <v>27.0980268433614</v>
      </c>
      <c r="V115" s="39">
        <f t="shared" si="138"/>
        <v>3.46188512954469</v>
      </c>
      <c r="W115" s="39">
        <f t="shared" si="139"/>
        <v>12.7247163641279</v>
      </c>
      <c r="X115" s="39">
        <f t="shared" si="140"/>
        <v>17.2780815349433</v>
      </c>
      <c r="Y115" s="43"/>
      <c r="Z115" s="43">
        <v>0.662107105670709</v>
      </c>
      <c r="AA115" s="39"/>
      <c r="AB115" s="39"/>
      <c r="AC115" s="39"/>
      <c r="AD115" s="39"/>
      <c r="AE115" s="39"/>
      <c r="AF115" s="39"/>
      <c r="AG115" s="43"/>
      <c r="AH115" s="43"/>
    </row>
    <row r="116" spans="1:34">
      <c r="A116" s="35" t="s">
        <v>53</v>
      </c>
      <c r="B116" s="39"/>
      <c r="C116" s="39"/>
      <c r="D116" s="40" t="s">
        <v>75</v>
      </c>
      <c r="E116" s="36" t="s">
        <v>8</v>
      </c>
      <c r="F116" s="36">
        <v>-0.0677336131550201</v>
      </c>
      <c r="G116" s="36">
        <f t="shared" ref="G116:K116" si="239">ABS(F116)</f>
        <v>0.0677336131550201</v>
      </c>
      <c r="H116" s="39">
        <v>-0.209208964155106</v>
      </c>
      <c r="I116" s="36">
        <f t="shared" si="239"/>
        <v>0.209208964155106</v>
      </c>
      <c r="J116" s="36">
        <v>-0.524647362262647</v>
      </c>
      <c r="K116" s="36">
        <f t="shared" si="239"/>
        <v>0.524647362262647</v>
      </c>
      <c r="L116" s="39">
        <v>0.100062460044867</v>
      </c>
      <c r="M116" s="36">
        <f t="shared" ref="M116:Q116" si="240">ABS(L116)</f>
        <v>0.100062460044867</v>
      </c>
      <c r="N116" s="39">
        <v>-0.0273132105699079</v>
      </c>
      <c r="O116" s="36">
        <f t="shared" si="240"/>
        <v>0.0273132105699079</v>
      </c>
      <c r="P116" s="39">
        <v>0.0399243094975143</v>
      </c>
      <c r="Q116" s="36">
        <f t="shared" si="240"/>
        <v>0.0399243094975143</v>
      </c>
      <c r="R116" s="39">
        <f>G116+I116+K116+M116+O116+Q116+G117+I117+K117+M117</f>
        <v>1.44006055686209</v>
      </c>
      <c r="S116" s="39">
        <f t="shared" si="135"/>
        <v>4.70352533664364</v>
      </c>
      <c r="T116" s="39">
        <f t="shared" si="136"/>
        <v>14.5277893459546</v>
      </c>
      <c r="U116" s="39">
        <f t="shared" si="137"/>
        <v>36.43231249982</v>
      </c>
      <c r="V116" s="39">
        <f t="shared" si="138"/>
        <v>6.94848974010538</v>
      </c>
      <c r="W116" s="39">
        <f t="shared" si="139"/>
        <v>1.89667097260296</v>
      </c>
      <c r="X116" s="39">
        <f t="shared" si="140"/>
        <v>2.77240490389583</v>
      </c>
      <c r="Y116" s="43"/>
      <c r="Z116" s="43">
        <v>0.827839145248895</v>
      </c>
      <c r="AA116" s="39"/>
      <c r="AB116" s="39"/>
      <c r="AC116" s="39"/>
      <c r="AD116" s="39"/>
      <c r="AE116" s="39"/>
      <c r="AF116" s="39"/>
      <c r="AG116" s="43"/>
      <c r="AH116" s="43"/>
    </row>
    <row r="117" spans="1:34">
      <c r="A117" s="35" t="s">
        <v>53</v>
      </c>
      <c r="B117" s="39"/>
      <c r="C117" s="39"/>
      <c r="D117" s="40" t="s">
        <v>75</v>
      </c>
      <c r="E117" s="36" t="s">
        <v>14</v>
      </c>
      <c r="F117" s="36">
        <v>-0.175678980124879</v>
      </c>
      <c r="G117" s="36">
        <f t="shared" ref="G117:K117" si="241">ABS(F117)</f>
        <v>0.175678980124879</v>
      </c>
      <c r="H117" s="39">
        <v>-0.22016152653054</v>
      </c>
      <c r="I117" s="36">
        <f t="shared" si="241"/>
        <v>0.22016152653054</v>
      </c>
      <c r="J117" s="36">
        <v>-0.0640475987655735</v>
      </c>
      <c r="K117" s="36">
        <f t="shared" si="241"/>
        <v>0.0640475987655735</v>
      </c>
      <c r="L117" s="39">
        <v>0.0112825317560398</v>
      </c>
      <c r="M117" s="36">
        <f t="shared" ref="M117:Q117" si="242">ABS(L117)</f>
        <v>0.0112825317560398</v>
      </c>
      <c r="N117" s="39">
        <v>-0.0273132105699079</v>
      </c>
      <c r="O117" s="36">
        <f t="shared" si="242"/>
        <v>0.0273132105699079</v>
      </c>
      <c r="P117" s="39">
        <v>-0.0076783404089489</v>
      </c>
      <c r="Q117" s="36">
        <f t="shared" si="242"/>
        <v>0.0076783404089489</v>
      </c>
      <c r="R117" s="39">
        <v>1.44006055686209</v>
      </c>
      <c r="S117" s="39">
        <f t="shared" si="135"/>
        <v>12.199416148699</v>
      </c>
      <c r="T117" s="39">
        <f t="shared" si="136"/>
        <v>15.2883519711334</v>
      </c>
      <c r="U117" s="39">
        <f t="shared" si="137"/>
        <v>4.44756287923989</v>
      </c>
      <c r="V117" s="39">
        <f t="shared" si="138"/>
        <v>0.783476201905327</v>
      </c>
      <c r="W117" s="39">
        <f t="shared" si="139"/>
        <v>1.89667097260297</v>
      </c>
      <c r="X117" s="39">
        <f t="shared" si="140"/>
        <v>0.533195661276919</v>
      </c>
      <c r="Y117" s="43"/>
      <c r="Z117" s="43">
        <v>0.74962417929423</v>
      </c>
      <c r="AA117" s="39"/>
      <c r="AB117" s="39"/>
      <c r="AC117" s="39"/>
      <c r="AD117" s="39"/>
      <c r="AE117" s="39"/>
      <c r="AF117" s="39"/>
      <c r="AG117" s="43"/>
      <c r="AH117" s="43"/>
    </row>
    <row r="118" spans="1:34">
      <c r="A118" s="35" t="s">
        <v>53</v>
      </c>
      <c r="B118" s="39"/>
      <c r="C118" s="39"/>
      <c r="D118" s="40" t="s">
        <v>75</v>
      </c>
      <c r="E118" s="36" t="s">
        <v>15</v>
      </c>
      <c r="F118" s="36">
        <v>-0.0520325634643772</v>
      </c>
      <c r="G118" s="36">
        <f t="shared" ref="G118:K118" si="243">ABS(F118)</f>
        <v>0.0520325634643772</v>
      </c>
      <c r="H118" s="39">
        <v>-0.475732472339136</v>
      </c>
      <c r="I118" s="36">
        <f t="shared" si="243"/>
        <v>0.475732472339136</v>
      </c>
      <c r="J118" s="36">
        <v>-0.645595425607181</v>
      </c>
      <c r="K118" s="36">
        <f t="shared" si="243"/>
        <v>0.645595425607181</v>
      </c>
      <c r="L118" s="39">
        <v>0.0701449294941624</v>
      </c>
      <c r="M118" s="36">
        <f t="shared" ref="M118:Q118" si="244">ABS(L118)</f>
        <v>0.0701449294941624</v>
      </c>
      <c r="N118" s="39">
        <v>-0.0322977947876994</v>
      </c>
      <c r="O118" s="36">
        <f t="shared" si="244"/>
        <v>0.0322977947876994</v>
      </c>
      <c r="P118" s="39">
        <v>-0.0293218381309285</v>
      </c>
      <c r="Q118" s="36">
        <f t="shared" si="244"/>
        <v>0.0293218381309285</v>
      </c>
      <c r="R118" s="39">
        <f>G118+I118+K118+M118+O118+Q118</f>
        <v>1.30512502382348</v>
      </c>
      <c r="S118" s="39">
        <f t="shared" si="135"/>
        <v>3.98678766513441</v>
      </c>
      <c r="T118" s="39">
        <f t="shared" si="136"/>
        <v>36.4511034311053</v>
      </c>
      <c r="U118" s="39">
        <f t="shared" si="137"/>
        <v>49.4661747972504</v>
      </c>
      <c r="V118" s="39">
        <f t="shared" si="138"/>
        <v>5.37457547849832</v>
      </c>
      <c r="W118" s="39">
        <f t="shared" si="139"/>
        <v>2.47468971923318</v>
      </c>
      <c r="X118" s="39">
        <f t="shared" si="140"/>
        <v>2.24666890877837</v>
      </c>
      <c r="Y118" s="43"/>
      <c r="Z118" s="43">
        <v>0.858731572281859</v>
      </c>
      <c r="AA118" s="39"/>
      <c r="AB118" s="39"/>
      <c r="AC118" s="39"/>
      <c r="AD118" s="39"/>
      <c r="AE118" s="39"/>
      <c r="AF118" s="39"/>
      <c r="AG118" s="43"/>
      <c r="AH118" s="43"/>
    </row>
    <row r="119" spans="1:34">
      <c r="A119" s="35" t="s">
        <v>54</v>
      </c>
      <c r="B119" s="39"/>
      <c r="C119" s="39"/>
      <c r="D119" s="40" t="s">
        <v>75</v>
      </c>
      <c r="E119" s="36" t="s">
        <v>8</v>
      </c>
      <c r="F119" s="36">
        <v>0.0941985984535659</v>
      </c>
      <c r="G119" s="36">
        <f t="shared" ref="G119:K119" si="245">ABS(F119)</f>
        <v>0.0941985984535659</v>
      </c>
      <c r="H119" s="39">
        <v>-0.0542900008304682</v>
      </c>
      <c r="I119" s="36">
        <f t="shared" si="245"/>
        <v>0.0542900008304682</v>
      </c>
      <c r="J119" s="36">
        <v>0.0974857101031128</v>
      </c>
      <c r="K119" s="36">
        <f t="shared" si="245"/>
        <v>0.0974857101031128</v>
      </c>
      <c r="L119" s="39">
        <v>-0.0013942625779978</v>
      </c>
      <c r="M119" s="36">
        <f t="shared" ref="M119:Q119" si="246">ABS(L119)</f>
        <v>0.0013942625779978</v>
      </c>
      <c r="N119" s="39">
        <v>-0.0973809458411325</v>
      </c>
      <c r="O119" s="36">
        <f t="shared" si="246"/>
        <v>0.0973809458411325</v>
      </c>
      <c r="P119" s="39">
        <v>0.0437438709864586</v>
      </c>
      <c r="Q119" s="36">
        <f t="shared" si="246"/>
        <v>0.0437438709864586</v>
      </c>
      <c r="R119" s="39">
        <f>G119+I119+K119+M119+O119+Q119+G120+I120+K120+M120</f>
        <v>0.869671709804127</v>
      </c>
      <c r="S119" s="39">
        <f t="shared" si="135"/>
        <v>10.8315123271955</v>
      </c>
      <c r="T119" s="39">
        <f t="shared" si="136"/>
        <v>6.24258558930193</v>
      </c>
      <c r="U119" s="39">
        <f t="shared" si="137"/>
        <v>11.2094838781256</v>
      </c>
      <c r="V119" s="39">
        <f t="shared" si="138"/>
        <v>0.160320562607679</v>
      </c>
      <c r="W119" s="39">
        <f t="shared" si="139"/>
        <v>11.1974374632774</v>
      </c>
      <c r="X119" s="39">
        <f t="shared" si="140"/>
        <v>5.02992916675545</v>
      </c>
      <c r="Y119" s="43"/>
      <c r="Z119" s="43">
        <v>0.649625554626675</v>
      </c>
      <c r="AA119" s="39"/>
      <c r="AB119" s="39"/>
      <c r="AC119" s="39"/>
      <c r="AD119" s="39"/>
      <c r="AE119" s="39"/>
      <c r="AF119" s="39"/>
      <c r="AG119" s="43"/>
      <c r="AH119" s="43"/>
    </row>
    <row r="120" spans="1:34">
      <c r="A120" s="35" t="s">
        <v>54</v>
      </c>
      <c r="B120" s="39"/>
      <c r="C120" s="39"/>
      <c r="D120" s="40" t="s">
        <v>75</v>
      </c>
      <c r="E120" s="36" t="s">
        <v>14</v>
      </c>
      <c r="F120" s="36">
        <v>-0.106706546358272</v>
      </c>
      <c r="G120" s="36">
        <f t="shared" ref="G120:K120" si="247">ABS(F120)</f>
        <v>0.106706546358272</v>
      </c>
      <c r="H120" s="39">
        <v>0.174901829538986</v>
      </c>
      <c r="I120" s="36">
        <f t="shared" si="247"/>
        <v>0.174901829538986</v>
      </c>
      <c r="J120" s="36">
        <v>0.172732462769998</v>
      </c>
      <c r="K120" s="36">
        <f t="shared" si="247"/>
        <v>0.172732462769998</v>
      </c>
      <c r="L120" s="39">
        <v>0.0268374823441357</v>
      </c>
      <c r="M120" s="36">
        <f t="shared" ref="M120:Q120" si="248">ABS(L120)</f>
        <v>0.0268374823441357</v>
      </c>
      <c r="N120" s="39">
        <v>-0.0973809458411325</v>
      </c>
      <c r="O120" s="36">
        <f t="shared" si="248"/>
        <v>0.0973809458411325</v>
      </c>
      <c r="P120" s="39">
        <v>-0.0719838745176039</v>
      </c>
      <c r="Q120" s="36">
        <f t="shared" si="248"/>
        <v>0.0719838745176039</v>
      </c>
      <c r="R120" s="39">
        <v>0.869671709804127</v>
      </c>
      <c r="S120" s="39">
        <f t="shared" si="135"/>
        <v>12.2697502006021</v>
      </c>
      <c r="T120" s="39">
        <f t="shared" si="136"/>
        <v>20.111247447428</v>
      </c>
      <c r="U120" s="39">
        <f t="shared" si="137"/>
        <v>19.8618008177939</v>
      </c>
      <c r="V120" s="39">
        <f t="shared" si="138"/>
        <v>3.08593254691247</v>
      </c>
      <c r="W120" s="39">
        <f t="shared" si="139"/>
        <v>11.1974374632774</v>
      </c>
      <c r="X120" s="39">
        <f t="shared" si="140"/>
        <v>8.27713190001507</v>
      </c>
      <c r="Y120" s="43"/>
      <c r="Z120" s="43">
        <v>0.855453510719998</v>
      </c>
      <c r="AA120" s="39"/>
      <c r="AB120" s="39"/>
      <c r="AC120" s="39"/>
      <c r="AD120" s="39"/>
      <c r="AE120" s="39"/>
      <c r="AF120" s="39"/>
      <c r="AG120" s="43"/>
      <c r="AH120" s="43"/>
    </row>
    <row r="121" spans="1:34">
      <c r="A121" s="35" t="s">
        <v>54</v>
      </c>
      <c r="B121" s="39"/>
      <c r="C121" s="39"/>
      <c r="D121" s="40" t="s">
        <v>75</v>
      </c>
      <c r="E121" s="36" t="s">
        <v>15</v>
      </c>
      <c r="F121" s="36">
        <v>-0.0653185188648963</v>
      </c>
      <c r="G121" s="36">
        <f t="shared" ref="G121:K121" si="249">ABS(F121)</f>
        <v>0.0653185188648963</v>
      </c>
      <c r="H121" s="39">
        <v>0.134697721134091</v>
      </c>
      <c r="I121" s="36">
        <f t="shared" si="249"/>
        <v>0.134697721134091</v>
      </c>
      <c r="J121" s="36">
        <v>0.170949547328959</v>
      </c>
      <c r="K121" s="36">
        <f t="shared" si="249"/>
        <v>0.170949547328959</v>
      </c>
      <c r="L121" s="39">
        <v>0.0175546599773202</v>
      </c>
      <c r="M121" s="36">
        <f t="shared" ref="M121:Q121" si="250">ABS(L121)</f>
        <v>0.0175546599773202</v>
      </c>
      <c r="N121" s="39">
        <v>-0.0526135824564511</v>
      </c>
      <c r="O121" s="36">
        <f t="shared" si="250"/>
        <v>0.0526135824564511</v>
      </c>
      <c r="P121" s="39">
        <v>0.0474774256282307</v>
      </c>
      <c r="Q121" s="36">
        <f t="shared" si="250"/>
        <v>0.0474774256282307</v>
      </c>
      <c r="R121" s="39">
        <f>G121+I121+K121+M121+O121+Q121</f>
        <v>0.488611455389948</v>
      </c>
      <c r="S121" s="39">
        <f t="shared" si="135"/>
        <v>13.3681922812815</v>
      </c>
      <c r="T121" s="39">
        <f t="shared" si="136"/>
        <v>27.5674505065773</v>
      </c>
      <c r="U121" s="39">
        <f t="shared" si="137"/>
        <v>34.9868070924634</v>
      </c>
      <c r="V121" s="39">
        <f t="shared" si="138"/>
        <v>3.5927647179926</v>
      </c>
      <c r="W121" s="39">
        <f t="shared" si="139"/>
        <v>10.7679797262349</v>
      </c>
      <c r="X121" s="39">
        <f t="shared" si="140"/>
        <v>9.71680567545028</v>
      </c>
      <c r="Y121" s="43"/>
      <c r="Z121" s="43">
        <v>0.862293245266457</v>
      </c>
      <c r="AA121" s="39"/>
      <c r="AB121" s="39"/>
      <c r="AC121" s="39"/>
      <c r="AD121" s="39"/>
      <c r="AE121" s="39"/>
      <c r="AF121" s="39"/>
      <c r="AG121" s="43"/>
      <c r="AH121" s="43"/>
    </row>
    <row r="122" spans="1:34">
      <c r="A122" s="35" t="s">
        <v>55</v>
      </c>
      <c r="B122" s="39"/>
      <c r="C122" s="39"/>
      <c r="D122" s="40" t="s">
        <v>75</v>
      </c>
      <c r="E122" s="36" t="s">
        <v>8</v>
      </c>
      <c r="F122" s="36">
        <v>0.0479150493041664</v>
      </c>
      <c r="G122" s="36">
        <f t="shared" ref="G122:K122" si="251">ABS(F122)</f>
        <v>0.0479150493041664</v>
      </c>
      <c r="H122" s="39">
        <v>-0.621977728754719</v>
      </c>
      <c r="I122" s="36">
        <f t="shared" si="251"/>
        <v>0.621977728754719</v>
      </c>
      <c r="J122" s="36">
        <v>-0.273425219747775</v>
      </c>
      <c r="K122" s="36">
        <f t="shared" si="251"/>
        <v>0.273425219747775</v>
      </c>
      <c r="L122" s="39">
        <v>0.0680231703963112</v>
      </c>
      <c r="M122" s="36">
        <f t="shared" ref="M122:Q122" si="252">ABS(L122)</f>
        <v>0.0680231703963112</v>
      </c>
      <c r="N122" s="39">
        <v>0.222963296683532</v>
      </c>
      <c r="O122" s="36">
        <f t="shared" si="252"/>
        <v>0.222963296683532</v>
      </c>
      <c r="P122" s="39">
        <v>-0.255367728761136</v>
      </c>
      <c r="Q122" s="36">
        <f t="shared" si="252"/>
        <v>0.255367728761136</v>
      </c>
      <c r="R122" s="39">
        <f>G122+I122+K122+M122+O122+Q122+G123+I123+K123+M123</f>
        <v>1.92473190399757</v>
      </c>
      <c r="S122" s="39">
        <f t="shared" si="135"/>
        <v>2.48944017629932</v>
      </c>
      <c r="T122" s="39">
        <f t="shared" si="136"/>
        <v>32.3150318993987</v>
      </c>
      <c r="U122" s="39">
        <f t="shared" si="137"/>
        <v>14.2058859823482</v>
      </c>
      <c r="V122" s="39">
        <f t="shared" si="138"/>
        <v>3.5341633946541</v>
      </c>
      <c r="W122" s="39">
        <f t="shared" si="139"/>
        <v>11.5841222468671</v>
      </c>
      <c r="X122" s="39">
        <f t="shared" si="140"/>
        <v>13.2677038412856</v>
      </c>
      <c r="Y122" s="43"/>
      <c r="Z122" s="43">
        <v>0.576903108384562</v>
      </c>
      <c r="AA122" s="39"/>
      <c r="AB122" s="39"/>
      <c r="AC122" s="39"/>
      <c r="AD122" s="39"/>
      <c r="AE122" s="39"/>
      <c r="AF122" s="39"/>
      <c r="AG122" s="43"/>
      <c r="AH122" s="43"/>
    </row>
    <row r="123" spans="1:34">
      <c r="A123" s="35" t="s">
        <v>55</v>
      </c>
      <c r="B123" s="39"/>
      <c r="C123" s="39"/>
      <c r="D123" s="40" t="s">
        <v>75</v>
      </c>
      <c r="E123" s="36" t="s">
        <v>14</v>
      </c>
      <c r="F123" s="36">
        <v>0.0457055176164058</v>
      </c>
      <c r="G123" s="36">
        <f t="shared" ref="G123:K123" si="253">ABS(F123)</f>
        <v>0.0457055176164058</v>
      </c>
      <c r="H123" s="39">
        <v>0.0288671520013866</v>
      </c>
      <c r="I123" s="36">
        <f t="shared" si="253"/>
        <v>0.0288671520013866</v>
      </c>
      <c r="J123" s="36">
        <v>0.354262852244963</v>
      </c>
      <c r="K123" s="36">
        <f t="shared" si="253"/>
        <v>0.354262852244963</v>
      </c>
      <c r="L123" s="39">
        <v>0.006224188487178</v>
      </c>
      <c r="M123" s="36">
        <f t="shared" ref="M123:Q123" si="254">ABS(L123)</f>
        <v>0.006224188487178</v>
      </c>
      <c r="N123" s="39">
        <v>0.222963296683532</v>
      </c>
      <c r="O123" s="36">
        <f t="shared" si="254"/>
        <v>0.222963296683532</v>
      </c>
      <c r="P123" s="39">
        <v>0.0873466184121566</v>
      </c>
      <c r="Q123" s="36">
        <f t="shared" si="254"/>
        <v>0.0873466184121566</v>
      </c>
      <c r="R123" s="39">
        <v>1.92473190399757</v>
      </c>
      <c r="S123" s="39">
        <f t="shared" si="135"/>
        <v>2.37464332157002</v>
      </c>
      <c r="T123" s="39">
        <f t="shared" si="136"/>
        <v>1.49980119004787</v>
      </c>
      <c r="U123" s="39">
        <f t="shared" si="137"/>
        <v>18.4058284433888</v>
      </c>
      <c r="V123" s="39">
        <f t="shared" si="138"/>
        <v>0.323379504140326</v>
      </c>
      <c r="W123" s="39">
        <f t="shared" si="139"/>
        <v>11.5841222468671</v>
      </c>
      <c r="X123" s="39">
        <f t="shared" si="140"/>
        <v>4.53811869750494</v>
      </c>
      <c r="Y123" s="43"/>
      <c r="Z123" s="43">
        <v>0.273782592968776</v>
      </c>
      <c r="AA123" s="39"/>
      <c r="AB123" s="39"/>
      <c r="AC123" s="39"/>
      <c r="AD123" s="39"/>
      <c r="AE123" s="39"/>
      <c r="AF123" s="39"/>
      <c r="AG123" s="43"/>
      <c r="AH123" s="43"/>
    </row>
    <row r="124" spans="1:34">
      <c r="A124" s="35" t="s">
        <v>55</v>
      </c>
      <c r="B124" s="39"/>
      <c r="C124" s="39"/>
      <c r="D124" s="40" t="s">
        <v>75</v>
      </c>
      <c r="E124" s="36" t="s">
        <v>15</v>
      </c>
      <c r="F124" s="36">
        <v>-0.0401524376974469</v>
      </c>
      <c r="G124" s="36">
        <f t="shared" ref="G124:K124" si="255">ABS(F124)</f>
        <v>0.0401524376974469</v>
      </c>
      <c r="H124" s="39">
        <v>-0.345289176734968</v>
      </c>
      <c r="I124" s="36">
        <f t="shared" si="255"/>
        <v>0.345289176734968</v>
      </c>
      <c r="J124" s="36">
        <v>-0.175338609446805</v>
      </c>
      <c r="K124" s="36">
        <f t="shared" si="255"/>
        <v>0.175338609446805</v>
      </c>
      <c r="L124" s="39">
        <v>0.068720976941562</v>
      </c>
      <c r="M124" s="36">
        <f t="shared" ref="M124:Q124" si="256">ABS(L124)</f>
        <v>0.068720976941562</v>
      </c>
      <c r="N124" s="39">
        <v>0.321984040868883</v>
      </c>
      <c r="O124" s="36">
        <f t="shared" si="256"/>
        <v>0.321984040868883</v>
      </c>
      <c r="P124" s="39">
        <v>0.0162290522226213</v>
      </c>
      <c r="Q124" s="36">
        <f t="shared" si="256"/>
        <v>0.0162290522226213</v>
      </c>
      <c r="R124" s="39">
        <f>G124+I124+K124+M124+O124+Q124</f>
        <v>0.967714293912286</v>
      </c>
      <c r="S124" s="39">
        <f t="shared" si="135"/>
        <v>4.14920374226552</v>
      </c>
      <c r="T124" s="39">
        <f t="shared" si="136"/>
        <v>35.6809007479913</v>
      </c>
      <c r="U124" s="39">
        <f t="shared" si="137"/>
        <v>18.1188405038376</v>
      </c>
      <c r="V124" s="39">
        <f t="shared" si="138"/>
        <v>7.1013704534358</v>
      </c>
      <c r="W124" s="39">
        <f t="shared" si="139"/>
        <v>33.272634587959</v>
      </c>
      <c r="X124" s="39">
        <f t="shared" si="140"/>
        <v>1.67704996451073</v>
      </c>
      <c r="Y124" s="43"/>
      <c r="Z124" s="43">
        <v>0.464382354297133</v>
      </c>
      <c r="AA124" s="39"/>
      <c r="AB124" s="39"/>
      <c r="AC124" s="39"/>
      <c r="AD124" s="39"/>
      <c r="AE124" s="39"/>
      <c r="AF124" s="39"/>
      <c r="AG124" s="43"/>
      <c r="AH124" s="43"/>
    </row>
    <row r="125" spans="1:34">
      <c r="A125" s="35" t="s">
        <v>56</v>
      </c>
      <c r="B125" s="39"/>
      <c r="C125" s="39"/>
      <c r="D125" s="40" t="s">
        <v>75</v>
      </c>
      <c r="E125" s="36" t="s">
        <v>8</v>
      </c>
      <c r="F125" s="36">
        <v>0.602832740424484</v>
      </c>
      <c r="G125" s="36">
        <f t="shared" ref="G125:K125" si="257">ABS(F125)</f>
        <v>0.602832740424484</v>
      </c>
      <c r="H125" s="39">
        <v>0.449016567070929</v>
      </c>
      <c r="I125" s="36">
        <f t="shared" si="257"/>
        <v>0.449016567070929</v>
      </c>
      <c r="J125" s="36">
        <v>1.13515623715761</v>
      </c>
      <c r="K125" s="36">
        <f t="shared" si="257"/>
        <v>1.13515623715761</v>
      </c>
      <c r="L125" s="39">
        <v>0.0368461456508523</v>
      </c>
      <c r="M125" s="36">
        <f t="shared" ref="M125:Q125" si="258">ABS(L125)</f>
        <v>0.0368461456508523</v>
      </c>
      <c r="N125" s="39">
        <v>-0.49742377079764</v>
      </c>
      <c r="O125" s="36">
        <f t="shared" si="258"/>
        <v>0.49742377079764</v>
      </c>
      <c r="P125" s="39">
        <v>0.835429783529593</v>
      </c>
      <c r="Q125" s="36">
        <f t="shared" si="258"/>
        <v>0.835429783529593</v>
      </c>
      <c r="R125" s="39">
        <f>G125+I125+K125+M125+O125+Q125+G126+I126+K126+M126</f>
        <v>6.57039186040194</v>
      </c>
      <c r="S125" s="39">
        <f t="shared" si="135"/>
        <v>9.17498915182824</v>
      </c>
      <c r="T125" s="39">
        <f t="shared" si="136"/>
        <v>6.83393892801183</v>
      </c>
      <c r="U125" s="39">
        <f t="shared" si="137"/>
        <v>17.2768422534872</v>
      </c>
      <c r="V125" s="39">
        <f t="shared" si="138"/>
        <v>0.560790686974311</v>
      </c>
      <c r="W125" s="39">
        <f t="shared" si="139"/>
        <v>7.57068651864563</v>
      </c>
      <c r="X125" s="39">
        <f t="shared" si="140"/>
        <v>12.7150678571321</v>
      </c>
      <c r="Y125" s="43"/>
      <c r="Z125" s="43">
        <v>0.595398685093193</v>
      </c>
      <c r="AA125" s="39"/>
      <c r="AB125" s="39"/>
      <c r="AC125" s="39"/>
      <c r="AD125" s="39"/>
      <c r="AE125" s="39"/>
      <c r="AF125" s="39"/>
      <c r="AG125" s="43"/>
      <c r="AH125" s="43"/>
    </row>
    <row r="126" spans="1:34">
      <c r="A126" s="35" t="s">
        <v>56</v>
      </c>
      <c r="B126" s="39"/>
      <c r="C126" s="39"/>
      <c r="D126" s="40" t="s">
        <v>75</v>
      </c>
      <c r="E126" s="36" t="s">
        <v>14</v>
      </c>
      <c r="F126" s="36">
        <v>-0.670750221020634</v>
      </c>
      <c r="G126" s="36">
        <f t="shared" ref="G126:K126" si="259">ABS(F126)</f>
        <v>0.670750221020634</v>
      </c>
      <c r="H126" s="39">
        <v>-2.05433138468526</v>
      </c>
      <c r="I126" s="36">
        <f t="shared" si="259"/>
        <v>2.05433138468526</v>
      </c>
      <c r="J126" s="36">
        <v>-0.0117808661008164</v>
      </c>
      <c r="K126" s="36">
        <f t="shared" si="259"/>
        <v>0.0117808661008164</v>
      </c>
      <c r="L126" s="39">
        <v>0.276824143964125</v>
      </c>
      <c r="M126" s="36">
        <f t="shared" ref="M126:Q126" si="260">ABS(L126)</f>
        <v>0.276824143964125</v>
      </c>
      <c r="N126" s="39">
        <v>-0.49742377079764</v>
      </c>
      <c r="O126" s="36">
        <f t="shared" si="260"/>
        <v>0.49742377079764</v>
      </c>
      <c r="P126" s="39">
        <v>0.903135186100116</v>
      </c>
      <c r="Q126" s="36">
        <f t="shared" si="260"/>
        <v>0.903135186100116</v>
      </c>
      <c r="R126" s="39">
        <v>6.57039186040194</v>
      </c>
      <c r="S126" s="39">
        <f t="shared" si="135"/>
        <v>10.2086791057786</v>
      </c>
      <c r="T126" s="39">
        <f t="shared" si="136"/>
        <v>31.2664971638326</v>
      </c>
      <c r="U126" s="39">
        <f t="shared" si="137"/>
        <v>0.179302336163793</v>
      </c>
      <c r="V126" s="39">
        <f t="shared" si="138"/>
        <v>4.2132059981456</v>
      </c>
      <c r="W126" s="39">
        <f t="shared" si="139"/>
        <v>7.57068651864564</v>
      </c>
      <c r="X126" s="39">
        <f t="shared" si="140"/>
        <v>13.7455300275632</v>
      </c>
      <c r="Y126" s="43"/>
      <c r="Z126" s="43">
        <v>0.36820894301251</v>
      </c>
      <c r="AA126" s="39"/>
      <c r="AB126" s="39"/>
      <c r="AC126" s="39"/>
      <c r="AD126" s="39"/>
      <c r="AE126" s="39"/>
      <c r="AF126" s="39"/>
      <c r="AG126" s="43"/>
      <c r="AH126" s="43"/>
    </row>
    <row r="127" spans="1:34">
      <c r="A127" s="35" t="s">
        <v>56</v>
      </c>
      <c r="B127" s="39"/>
      <c r="C127" s="39"/>
      <c r="D127" s="40" t="s">
        <v>75</v>
      </c>
      <c r="E127" s="36" t="s">
        <v>15</v>
      </c>
      <c r="F127" s="36">
        <v>-0.177456741760133</v>
      </c>
      <c r="G127" s="36">
        <f t="shared" ref="G127:K127" si="261">ABS(F127)</f>
        <v>0.177456741760133</v>
      </c>
      <c r="H127" s="39">
        <v>-0.435699520941738</v>
      </c>
      <c r="I127" s="36">
        <f t="shared" si="261"/>
        <v>0.435699520941738</v>
      </c>
      <c r="J127" s="36">
        <v>0.454234247182182</v>
      </c>
      <c r="K127" s="36">
        <f t="shared" si="261"/>
        <v>0.454234247182182</v>
      </c>
      <c r="L127" s="39">
        <v>-0.0797923105611956</v>
      </c>
      <c r="M127" s="36">
        <f t="shared" ref="M127:Q127" si="262">ABS(L127)</f>
        <v>0.0797923105611956</v>
      </c>
      <c r="N127" s="39">
        <v>-0.038819597061126</v>
      </c>
      <c r="O127" s="36">
        <f t="shared" si="262"/>
        <v>0.038819597061126</v>
      </c>
      <c r="P127" s="39">
        <v>-0.118070472462384</v>
      </c>
      <c r="Q127" s="36">
        <f t="shared" si="262"/>
        <v>0.118070472462384</v>
      </c>
      <c r="R127" s="39">
        <f>G127+I127+K127+M127+O127+Q127</f>
        <v>1.30407288996876</v>
      </c>
      <c r="S127" s="39">
        <f t="shared" si="135"/>
        <v>13.6078851976123</v>
      </c>
      <c r="T127" s="39">
        <f t="shared" si="136"/>
        <v>33.4106723859719</v>
      </c>
      <c r="U127" s="39">
        <f t="shared" si="137"/>
        <v>34.831967651215</v>
      </c>
      <c r="V127" s="39">
        <f t="shared" si="138"/>
        <v>6.11870020264796</v>
      </c>
      <c r="W127" s="39">
        <f t="shared" si="139"/>
        <v>2.97679657017147</v>
      </c>
      <c r="X127" s="39">
        <f t="shared" si="140"/>
        <v>9.05397799238144</v>
      </c>
      <c r="Y127" s="43"/>
      <c r="Z127" s="43">
        <v>0.743912110389957</v>
      </c>
      <c r="AA127" s="39"/>
      <c r="AB127" s="39"/>
      <c r="AC127" s="39"/>
      <c r="AD127" s="39"/>
      <c r="AE127" s="39"/>
      <c r="AF127" s="39"/>
      <c r="AG127" s="43"/>
      <c r="AH127" s="43"/>
    </row>
    <row r="128" spans="1:34">
      <c r="A128" s="35" t="s">
        <v>57</v>
      </c>
      <c r="B128" s="39"/>
      <c r="C128" s="39"/>
      <c r="D128" s="40" t="s">
        <v>75</v>
      </c>
      <c r="E128" s="36" t="s">
        <v>8</v>
      </c>
      <c r="F128" s="36">
        <v>0.329674439008951</v>
      </c>
      <c r="G128" s="36">
        <f t="shared" ref="G128:K128" si="263">ABS(F128)</f>
        <v>0.329674439008951</v>
      </c>
      <c r="H128" s="39">
        <v>-0.110088611650792</v>
      </c>
      <c r="I128" s="36">
        <f t="shared" si="263"/>
        <v>0.110088611650792</v>
      </c>
      <c r="J128" s="36">
        <v>-0.357952440881622</v>
      </c>
      <c r="K128" s="36">
        <f t="shared" si="263"/>
        <v>0.357952440881622</v>
      </c>
      <c r="L128" s="39">
        <v>-0.0313192155981734</v>
      </c>
      <c r="M128" s="36">
        <f t="shared" ref="M128:Q128" si="264">ABS(L128)</f>
        <v>0.0313192155981734</v>
      </c>
      <c r="N128" s="39">
        <v>-0.980010943385249</v>
      </c>
      <c r="O128" s="36">
        <f t="shared" si="264"/>
        <v>0.980010943385249</v>
      </c>
      <c r="P128" s="39">
        <v>1.17667533826565</v>
      </c>
      <c r="Q128" s="36">
        <f t="shared" si="264"/>
        <v>1.17667533826565</v>
      </c>
      <c r="R128" s="39">
        <f>G128+I128+K128+M128+O128+Q128+G129+I129+K129+M129</f>
        <v>4.18051160817517</v>
      </c>
      <c r="S128" s="39">
        <f t="shared" si="135"/>
        <v>7.88598310226573</v>
      </c>
      <c r="T128" s="39">
        <f t="shared" si="136"/>
        <v>2.63337653304225</v>
      </c>
      <c r="U128" s="39">
        <f t="shared" si="137"/>
        <v>8.562407533605</v>
      </c>
      <c r="V128" s="39">
        <f t="shared" si="138"/>
        <v>0.749171836694039</v>
      </c>
      <c r="W128" s="39">
        <f t="shared" si="139"/>
        <v>23.4423686677199</v>
      </c>
      <c r="X128" s="39">
        <f t="shared" si="140"/>
        <v>28.1466827161683</v>
      </c>
      <c r="Y128" s="43"/>
      <c r="Z128" s="43">
        <v>0.578304010351631</v>
      </c>
      <c r="AA128" s="39"/>
      <c r="AB128" s="39"/>
      <c r="AC128" s="39"/>
      <c r="AD128" s="39"/>
      <c r="AE128" s="39"/>
      <c r="AF128" s="39"/>
      <c r="AG128" s="43"/>
      <c r="AH128" s="43"/>
    </row>
    <row r="129" spans="1:34">
      <c r="A129" s="35" t="s">
        <v>57</v>
      </c>
      <c r="B129" s="39"/>
      <c r="C129" s="39"/>
      <c r="D129" s="40" t="s">
        <v>75</v>
      </c>
      <c r="E129" s="36" t="s">
        <v>14</v>
      </c>
      <c r="F129" s="36">
        <v>0.113078165388539</v>
      </c>
      <c r="G129" s="36">
        <f t="shared" ref="G129:K129" si="265">ABS(F129)</f>
        <v>0.113078165388539</v>
      </c>
      <c r="H129" s="39">
        <v>0.388856961993118</v>
      </c>
      <c r="I129" s="36">
        <f t="shared" si="265"/>
        <v>0.388856961993118</v>
      </c>
      <c r="J129" s="36">
        <v>0.679439571784214</v>
      </c>
      <c r="K129" s="36">
        <f t="shared" si="265"/>
        <v>0.679439571784214</v>
      </c>
      <c r="L129" s="39">
        <v>0.0134159202188582</v>
      </c>
      <c r="M129" s="36">
        <f t="shared" ref="M129:Q129" si="266">ABS(L129)</f>
        <v>0.0134159202188582</v>
      </c>
      <c r="N129" s="39">
        <v>-0.980010943385249</v>
      </c>
      <c r="O129" s="36">
        <f t="shared" si="266"/>
        <v>0.980010943385249</v>
      </c>
      <c r="P129" s="39">
        <v>0.195527148975904</v>
      </c>
      <c r="Q129" s="36">
        <f t="shared" si="266"/>
        <v>0.195527148975904</v>
      </c>
      <c r="R129" s="39">
        <v>4.18051160817516</v>
      </c>
      <c r="S129" s="39">
        <f t="shared" si="135"/>
        <v>2.70488820476925</v>
      </c>
      <c r="T129" s="39">
        <f t="shared" si="136"/>
        <v>9.3016596636807</v>
      </c>
      <c r="U129" s="39">
        <f t="shared" si="137"/>
        <v>16.2525459911543</v>
      </c>
      <c r="V129" s="39">
        <f t="shared" si="138"/>
        <v>0.320915750900508</v>
      </c>
      <c r="W129" s="39">
        <f t="shared" si="139"/>
        <v>23.4423686677199</v>
      </c>
      <c r="X129" s="39">
        <f t="shared" si="140"/>
        <v>4.67711053818252</v>
      </c>
      <c r="Y129" s="43"/>
      <c r="Z129" s="43">
        <v>0.691016390996232</v>
      </c>
      <c r="AA129" s="39"/>
      <c r="AB129" s="39"/>
      <c r="AC129" s="39"/>
      <c r="AD129" s="39"/>
      <c r="AE129" s="39"/>
      <c r="AF129" s="39"/>
      <c r="AG129" s="43"/>
      <c r="AH129" s="43"/>
    </row>
    <row r="130" spans="1:34">
      <c r="A130" s="35" t="s">
        <v>57</v>
      </c>
      <c r="B130" s="39"/>
      <c r="C130" s="39"/>
      <c r="D130" s="40" t="s">
        <v>75</v>
      </c>
      <c r="E130" s="36" t="s">
        <v>15</v>
      </c>
      <c r="F130" s="36">
        <v>-0.061012811450928</v>
      </c>
      <c r="G130" s="36">
        <f t="shared" ref="G130:K130" si="267">ABS(F130)</f>
        <v>0.061012811450928</v>
      </c>
      <c r="H130" s="39">
        <v>0.0245782098237006</v>
      </c>
      <c r="I130" s="36">
        <f t="shared" si="267"/>
        <v>0.0245782098237006</v>
      </c>
      <c r="J130" s="36">
        <v>0.397401446655872</v>
      </c>
      <c r="K130" s="36">
        <f t="shared" si="267"/>
        <v>0.397401446655872</v>
      </c>
      <c r="L130" s="39">
        <v>0.0254830181265803</v>
      </c>
      <c r="M130" s="36">
        <f t="shared" ref="M130:Q130" si="268">ABS(L130)</f>
        <v>0.0254830181265803</v>
      </c>
      <c r="N130" s="39">
        <v>-0.146303161520866</v>
      </c>
      <c r="O130" s="36">
        <f t="shared" si="268"/>
        <v>0.146303161520866</v>
      </c>
      <c r="P130" s="39">
        <v>0.00161154012388259</v>
      </c>
      <c r="Q130" s="36">
        <f t="shared" si="268"/>
        <v>0.00161154012388259</v>
      </c>
      <c r="R130" s="39">
        <f>G130+I130+K130+M130+O130+Q130</f>
        <v>0.656390187701829</v>
      </c>
      <c r="S130" s="39">
        <f t="shared" ref="S130:S148" si="269">G130/R130*100</f>
        <v>9.29520468070183</v>
      </c>
      <c r="T130" s="39">
        <f t="shared" ref="T130:T148" si="270">I130/R130*100</f>
        <v>3.74445113351777</v>
      </c>
      <c r="U130" s="39">
        <f t="shared" ref="U130:U148" si="271">K130/R130*100</f>
        <v>60.5434776603326</v>
      </c>
      <c r="V130" s="39">
        <f t="shared" ref="V130:V148" si="272">M130/R130*100</f>
        <v>3.88229723783686</v>
      </c>
      <c r="W130" s="39">
        <f t="shared" ref="W130:W148" si="273">O130/R130*100</f>
        <v>22.2890537156118</v>
      </c>
      <c r="X130" s="39">
        <f t="shared" ref="X130:X148" si="274">Q130/R130*100</f>
        <v>0.245515571999173</v>
      </c>
      <c r="Y130" s="43"/>
      <c r="Z130" s="43">
        <v>0.76400679416142</v>
      </c>
      <c r="AA130" s="39"/>
      <c r="AB130" s="39"/>
      <c r="AC130" s="39"/>
      <c r="AD130" s="39"/>
      <c r="AE130" s="39"/>
      <c r="AF130" s="39"/>
      <c r="AG130" s="43"/>
      <c r="AH130" s="43"/>
    </row>
    <row r="131" spans="1:34">
      <c r="A131" s="35" t="s">
        <v>58</v>
      </c>
      <c r="B131" s="39"/>
      <c r="C131" s="39"/>
      <c r="D131" s="40" t="s">
        <v>75</v>
      </c>
      <c r="E131" s="36" t="s">
        <v>8</v>
      </c>
      <c r="F131" s="36">
        <v>0.260179475782907</v>
      </c>
      <c r="G131" s="36">
        <f t="shared" ref="G131:K131" si="275">ABS(F131)</f>
        <v>0.260179475782907</v>
      </c>
      <c r="H131" s="39">
        <v>0.112740985949507</v>
      </c>
      <c r="I131" s="36">
        <f t="shared" si="275"/>
        <v>0.112740985949507</v>
      </c>
      <c r="J131" s="36">
        <v>-0.223970003950647</v>
      </c>
      <c r="K131" s="36">
        <f t="shared" si="275"/>
        <v>0.223970003950647</v>
      </c>
      <c r="L131" s="39">
        <v>0.0284859247587207</v>
      </c>
      <c r="M131" s="36">
        <f t="shared" ref="M131:Q131" si="276">ABS(L131)</f>
        <v>0.0284859247587207</v>
      </c>
      <c r="N131" s="39">
        <v>0.160576239240507</v>
      </c>
      <c r="O131" s="36">
        <f t="shared" si="276"/>
        <v>0.160576239240507</v>
      </c>
      <c r="P131" s="39">
        <v>-0.0883239584682049</v>
      </c>
      <c r="Q131" s="36">
        <f t="shared" si="276"/>
        <v>0.0883239584682049</v>
      </c>
      <c r="R131" s="39">
        <f>G131+I131+K131+M131+O131+Q131+G132+I132+K132+M132</f>
        <v>1.03960430205778</v>
      </c>
      <c r="S131" s="39">
        <f t="shared" si="269"/>
        <v>25.026779445594</v>
      </c>
      <c r="T131" s="39">
        <f t="shared" si="270"/>
        <v>10.84460556063</v>
      </c>
      <c r="U131" s="39">
        <f t="shared" si="271"/>
        <v>21.5437742521192</v>
      </c>
      <c r="V131" s="39">
        <f t="shared" si="272"/>
        <v>2.74007376675299</v>
      </c>
      <c r="W131" s="39">
        <f t="shared" si="273"/>
        <v>15.4458998411862</v>
      </c>
      <c r="X131" s="39">
        <f t="shared" si="274"/>
        <v>8.49592083193361</v>
      </c>
      <c r="Y131" s="43"/>
      <c r="Z131" s="43">
        <v>0.528823077758311</v>
      </c>
      <c r="AA131" s="39"/>
      <c r="AB131" s="39"/>
      <c r="AC131" s="39"/>
      <c r="AD131" s="39"/>
      <c r="AE131" s="39"/>
      <c r="AF131" s="39"/>
      <c r="AG131" s="43"/>
      <c r="AH131" s="43"/>
    </row>
    <row r="132" spans="1:34">
      <c r="A132" s="35" t="s">
        <v>58</v>
      </c>
      <c r="B132" s="39"/>
      <c r="C132" s="39"/>
      <c r="D132" s="40" t="s">
        <v>75</v>
      </c>
      <c r="E132" s="36" t="s">
        <v>14</v>
      </c>
      <c r="F132" s="36">
        <v>0.030047185914084</v>
      </c>
      <c r="G132" s="36">
        <f t="shared" ref="G132:K132" si="277">ABS(F132)</f>
        <v>0.030047185914084</v>
      </c>
      <c r="H132" s="39">
        <v>0.0178138900925808</v>
      </c>
      <c r="I132" s="36">
        <f t="shared" si="277"/>
        <v>0.0178138900925808</v>
      </c>
      <c r="J132" s="36">
        <v>-0.103509878682733</v>
      </c>
      <c r="K132" s="36">
        <f t="shared" si="277"/>
        <v>0.103509878682733</v>
      </c>
      <c r="L132" s="39">
        <v>-0.0139567592178882</v>
      </c>
      <c r="M132" s="36">
        <f t="shared" ref="M132:Q132" si="278">ABS(L132)</f>
        <v>0.0139567592178882</v>
      </c>
      <c r="N132" s="39">
        <v>0.160576239240507</v>
      </c>
      <c r="O132" s="36">
        <f t="shared" si="278"/>
        <v>0.160576239240507</v>
      </c>
      <c r="P132" s="39">
        <v>0.0440586225412856</v>
      </c>
      <c r="Q132" s="36">
        <f t="shared" si="278"/>
        <v>0.0440586225412856</v>
      </c>
      <c r="R132" s="39">
        <v>1.03960430205778</v>
      </c>
      <c r="S132" s="39">
        <f t="shared" si="269"/>
        <v>2.89025217138953</v>
      </c>
      <c r="T132" s="39">
        <f t="shared" si="270"/>
        <v>1.71352600766659</v>
      </c>
      <c r="U132" s="39">
        <f t="shared" si="271"/>
        <v>9.95666124869306</v>
      </c>
      <c r="V132" s="39">
        <f t="shared" si="272"/>
        <v>1.3425068740349</v>
      </c>
      <c r="W132" s="39">
        <f t="shared" si="273"/>
        <v>15.4458998411861</v>
      </c>
      <c r="X132" s="39">
        <f t="shared" si="274"/>
        <v>4.23801848973465</v>
      </c>
      <c r="Y132" s="43"/>
      <c r="Z132" s="43">
        <v>0.732454297819081</v>
      </c>
      <c r="AA132" s="39"/>
      <c r="AB132" s="39"/>
      <c r="AC132" s="39"/>
      <c r="AD132" s="39"/>
      <c r="AE132" s="39"/>
      <c r="AF132" s="39"/>
      <c r="AG132" s="43"/>
      <c r="AH132" s="43"/>
    </row>
    <row r="133" spans="1:34">
      <c r="A133" s="35" t="s">
        <v>58</v>
      </c>
      <c r="B133" s="39"/>
      <c r="C133" s="39"/>
      <c r="D133" s="40" t="s">
        <v>75</v>
      </c>
      <c r="E133" s="36" t="s">
        <v>15</v>
      </c>
      <c r="F133" s="36">
        <v>-0.0620477469034412</v>
      </c>
      <c r="G133" s="36">
        <f t="shared" ref="G133:K133" si="279">ABS(F133)</f>
        <v>0.0620477469034412</v>
      </c>
      <c r="H133" s="39">
        <v>0.119788211754698</v>
      </c>
      <c r="I133" s="36">
        <f t="shared" si="279"/>
        <v>0.119788211754698</v>
      </c>
      <c r="J133" s="36">
        <v>0.273516036640379</v>
      </c>
      <c r="K133" s="36">
        <f t="shared" si="279"/>
        <v>0.273516036640379</v>
      </c>
      <c r="L133" s="39">
        <v>0.017804543367023</v>
      </c>
      <c r="M133" s="36">
        <f t="shared" ref="M133:Q133" si="280">ABS(L133)</f>
        <v>0.017804543367023</v>
      </c>
      <c r="N133" s="39">
        <v>-0.0313669131449902</v>
      </c>
      <c r="O133" s="36">
        <f t="shared" si="280"/>
        <v>0.0313669131449902</v>
      </c>
      <c r="P133" s="39">
        <v>0.0229652089456729</v>
      </c>
      <c r="Q133" s="36">
        <f t="shared" si="280"/>
        <v>0.0229652089456729</v>
      </c>
      <c r="R133" s="39">
        <f>G133+I133+K133+M133+O133+Q133</f>
        <v>0.527488660756204</v>
      </c>
      <c r="S133" s="39">
        <f t="shared" si="269"/>
        <v>11.7628589047753</v>
      </c>
      <c r="T133" s="39">
        <f t="shared" si="270"/>
        <v>22.7091538959284</v>
      </c>
      <c r="U133" s="39">
        <f t="shared" si="271"/>
        <v>51.852495985083</v>
      </c>
      <c r="V133" s="39">
        <f t="shared" si="272"/>
        <v>3.37534144174749</v>
      </c>
      <c r="W133" s="39">
        <f t="shared" si="273"/>
        <v>5.94646207181455</v>
      </c>
      <c r="X133" s="39">
        <f t="shared" si="274"/>
        <v>4.35368770065126</v>
      </c>
      <c r="Y133" s="43"/>
      <c r="Z133" s="43">
        <v>0.643446554418472</v>
      </c>
      <c r="AA133" s="39"/>
      <c r="AB133" s="39"/>
      <c r="AC133" s="39"/>
      <c r="AD133" s="39"/>
      <c r="AE133" s="39"/>
      <c r="AF133" s="39"/>
      <c r="AG133" s="43"/>
      <c r="AH133" s="43"/>
    </row>
    <row r="134" spans="1:34">
      <c r="A134" s="35" t="s">
        <v>59</v>
      </c>
      <c r="B134" s="39"/>
      <c r="C134" s="39"/>
      <c r="D134" s="40" t="s">
        <v>75</v>
      </c>
      <c r="E134" s="36" t="s">
        <v>8</v>
      </c>
      <c r="F134" s="36">
        <v>0.28404149877808</v>
      </c>
      <c r="G134" s="36">
        <f t="shared" ref="G134:K134" si="281">ABS(F134)</f>
        <v>0.28404149877808</v>
      </c>
      <c r="H134" s="39">
        <v>0.384588564993449</v>
      </c>
      <c r="I134" s="36">
        <f t="shared" si="281"/>
        <v>0.384588564993449</v>
      </c>
      <c r="J134" s="36">
        <v>-0.224453946966524</v>
      </c>
      <c r="K134" s="36">
        <f t="shared" si="281"/>
        <v>0.224453946966524</v>
      </c>
      <c r="L134" s="39">
        <v>0.119022530196766</v>
      </c>
      <c r="M134" s="36">
        <f t="shared" ref="M134:Q134" si="282">ABS(L134)</f>
        <v>0.119022530196766</v>
      </c>
      <c r="N134" s="39">
        <v>-0.0345446460871194</v>
      </c>
      <c r="O134" s="36">
        <f t="shared" si="282"/>
        <v>0.0345446460871194</v>
      </c>
      <c r="P134" s="39">
        <v>0.570433051488939</v>
      </c>
      <c r="Q134" s="36">
        <f t="shared" si="282"/>
        <v>0.570433051488939</v>
      </c>
      <c r="R134" s="39">
        <f>G134+I134+K134+M134+O134+Q134+G135+I135+K135+M135</f>
        <v>2.8275487637491</v>
      </c>
      <c r="S134" s="39">
        <f t="shared" si="269"/>
        <v>10.0455031021804</v>
      </c>
      <c r="T134" s="39">
        <f t="shared" si="270"/>
        <v>13.6014830203499</v>
      </c>
      <c r="U134" s="39">
        <f t="shared" si="271"/>
        <v>7.9381105586634</v>
      </c>
      <c r="V134" s="39">
        <f t="shared" si="272"/>
        <v>4.20938912611189</v>
      </c>
      <c r="W134" s="39">
        <f t="shared" si="273"/>
        <v>1.22171707628893</v>
      </c>
      <c r="X134" s="39">
        <f t="shared" si="274"/>
        <v>20.1741189684238</v>
      </c>
      <c r="Y134" s="43"/>
      <c r="Z134" s="43">
        <v>0.378930229571514</v>
      </c>
      <c r="AA134" s="39"/>
      <c r="AB134" s="39"/>
      <c r="AC134" s="39"/>
      <c r="AD134" s="39"/>
      <c r="AE134" s="39"/>
      <c r="AF134" s="39"/>
      <c r="AG134" s="43"/>
      <c r="AH134" s="43"/>
    </row>
    <row r="135" spans="1:34">
      <c r="A135" s="35" t="s">
        <v>59</v>
      </c>
      <c r="B135" s="39"/>
      <c r="C135" s="39"/>
      <c r="D135" s="40" t="s">
        <v>75</v>
      </c>
      <c r="E135" s="36" t="s">
        <v>14</v>
      </c>
      <c r="F135" s="36">
        <v>-0.0194054593595959</v>
      </c>
      <c r="G135" s="36">
        <f t="shared" ref="G135:K135" si="283">ABS(F135)</f>
        <v>0.0194054593595959</v>
      </c>
      <c r="H135" s="39">
        <v>0.345424672950204</v>
      </c>
      <c r="I135" s="36">
        <f t="shared" si="283"/>
        <v>0.345424672950204</v>
      </c>
      <c r="J135" s="36">
        <v>0.829006974745968</v>
      </c>
      <c r="K135" s="36">
        <f t="shared" si="283"/>
        <v>0.829006974745968</v>
      </c>
      <c r="L135" s="39">
        <v>-0.0166274181824575</v>
      </c>
      <c r="M135" s="36">
        <f t="shared" ref="M135:Q135" si="284">ABS(L135)</f>
        <v>0.0166274181824575</v>
      </c>
      <c r="N135" s="39">
        <v>-0.0345446460871194</v>
      </c>
      <c r="O135" s="36">
        <f t="shared" si="284"/>
        <v>0.0345446460871194</v>
      </c>
      <c r="P135" s="39">
        <v>0.164652963860754</v>
      </c>
      <c r="Q135" s="36">
        <f t="shared" si="284"/>
        <v>0.164652963860754</v>
      </c>
      <c r="R135" s="39">
        <v>2.8275487637491</v>
      </c>
      <c r="S135" s="39">
        <f t="shared" si="269"/>
        <v>0.686299723929989</v>
      </c>
      <c r="T135" s="39">
        <f t="shared" si="270"/>
        <v>12.2164002042603</v>
      </c>
      <c r="U135" s="39">
        <f t="shared" si="271"/>
        <v>29.3189275946128</v>
      </c>
      <c r="V135" s="39">
        <f t="shared" si="272"/>
        <v>0.58805062517864</v>
      </c>
      <c r="W135" s="39">
        <f t="shared" si="273"/>
        <v>1.22171707628893</v>
      </c>
      <c r="X135" s="39">
        <f t="shared" si="274"/>
        <v>5.82316973527408</v>
      </c>
      <c r="Y135" s="43"/>
      <c r="Z135" s="43">
        <v>0.784761794502756</v>
      </c>
      <c r="AA135" s="39"/>
      <c r="AB135" s="39"/>
      <c r="AC135" s="39"/>
      <c r="AD135" s="39"/>
      <c r="AE135" s="39"/>
      <c r="AF135" s="39"/>
      <c r="AG135" s="43"/>
      <c r="AH135" s="43"/>
    </row>
    <row r="136" spans="1:34">
      <c r="A136" s="35" t="s">
        <v>59</v>
      </c>
      <c r="B136" s="39"/>
      <c r="C136" s="39"/>
      <c r="D136" s="40" t="s">
        <v>75</v>
      </c>
      <c r="E136" s="36" t="s">
        <v>15</v>
      </c>
      <c r="F136" s="36">
        <v>0.0762757310252786</v>
      </c>
      <c r="G136" s="36">
        <f t="shared" ref="G136:K136" si="285">ABS(F136)</f>
        <v>0.0762757310252786</v>
      </c>
      <c r="H136" s="39">
        <v>1.00283351574999</v>
      </c>
      <c r="I136" s="36">
        <f t="shared" si="285"/>
        <v>1.00283351574999</v>
      </c>
      <c r="J136" s="36">
        <v>0.374974592028633</v>
      </c>
      <c r="K136" s="36">
        <f t="shared" si="285"/>
        <v>0.374974592028633</v>
      </c>
      <c r="L136" s="39">
        <v>0.0377736877708807</v>
      </c>
      <c r="M136" s="36">
        <f t="shared" ref="M136:Q136" si="286">ABS(L136)</f>
        <v>0.0377736877708807</v>
      </c>
      <c r="N136" s="39">
        <v>0.00762118490788182</v>
      </c>
      <c r="O136" s="36">
        <f t="shared" si="286"/>
        <v>0.00762118490788182</v>
      </c>
      <c r="P136" s="39">
        <v>0.703462464987923</v>
      </c>
      <c r="Q136" s="36">
        <f t="shared" si="286"/>
        <v>0.703462464987923</v>
      </c>
      <c r="R136" s="39">
        <f>G136+I136+K136+M136+O136+Q136</f>
        <v>2.20294117647059</v>
      </c>
      <c r="S136" s="39">
        <f t="shared" si="269"/>
        <v>3.46244973946525</v>
      </c>
      <c r="T136" s="39">
        <f t="shared" si="270"/>
        <v>45.5224826909208</v>
      </c>
      <c r="U136" s="39">
        <f t="shared" si="271"/>
        <v>17.0215435633825</v>
      </c>
      <c r="V136" s="39">
        <f t="shared" si="272"/>
        <v>1.71469343686241</v>
      </c>
      <c r="W136" s="39">
        <f t="shared" si="273"/>
        <v>0.345954989142833</v>
      </c>
      <c r="X136" s="39">
        <f t="shared" si="274"/>
        <v>31.9328755802262</v>
      </c>
      <c r="Y136" s="43"/>
      <c r="Z136" s="43">
        <v>0.736686233112541</v>
      </c>
      <c r="AA136" s="39"/>
      <c r="AB136" s="39"/>
      <c r="AC136" s="39"/>
      <c r="AD136" s="39"/>
      <c r="AE136" s="39"/>
      <c r="AF136" s="39"/>
      <c r="AG136" s="43"/>
      <c r="AH136" s="43"/>
    </row>
    <row r="137" spans="1:34">
      <c r="A137" s="35" t="s">
        <v>60</v>
      </c>
      <c r="B137" s="39"/>
      <c r="C137" s="39"/>
      <c r="D137" s="40" t="s">
        <v>75</v>
      </c>
      <c r="E137" s="36" t="s">
        <v>8</v>
      </c>
      <c r="F137" s="36">
        <v>-0.0205672272831698</v>
      </c>
      <c r="G137" s="36">
        <f t="shared" ref="G137:K137" si="287">ABS(F137)</f>
        <v>0.0205672272831698</v>
      </c>
      <c r="H137" s="39">
        <v>0.0717718267370593</v>
      </c>
      <c r="I137" s="36">
        <f t="shared" si="287"/>
        <v>0.0717718267370593</v>
      </c>
      <c r="J137" s="36">
        <v>-0.178516515178005</v>
      </c>
      <c r="K137" s="36">
        <f t="shared" si="287"/>
        <v>0.178516515178005</v>
      </c>
      <c r="L137" s="39">
        <v>-0.00234150319728256</v>
      </c>
      <c r="M137" s="36">
        <f t="shared" ref="M137:Q137" si="288">ABS(L137)</f>
        <v>0.00234150319728256</v>
      </c>
      <c r="N137" s="39">
        <v>-0.0136229562691193</v>
      </c>
      <c r="O137" s="36">
        <f t="shared" si="288"/>
        <v>0.0136229562691193</v>
      </c>
      <c r="P137" s="39">
        <v>0.0575049401440868</v>
      </c>
      <c r="Q137" s="36">
        <f t="shared" si="288"/>
        <v>0.0575049401440868</v>
      </c>
      <c r="R137" s="39">
        <f>G137+I137+K137+M137+O137+Q137+G138+I138+K138+M138</f>
        <v>0.472553114888635</v>
      </c>
      <c r="S137" s="39">
        <f t="shared" si="269"/>
        <v>4.35236307521046</v>
      </c>
      <c r="T137" s="39">
        <f t="shared" si="270"/>
        <v>15.1880972690178</v>
      </c>
      <c r="U137" s="39">
        <f t="shared" si="271"/>
        <v>37.7770264449692</v>
      </c>
      <c r="V137" s="39">
        <f t="shared" si="272"/>
        <v>0.495500531794056</v>
      </c>
      <c r="W137" s="39">
        <f t="shared" si="273"/>
        <v>2.88284128067377</v>
      </c>
      <c r="X137" s="39">
        <f t="shared" si="274"/>
        <v>12.1689897563449</v>
      </c>
      <c r="Y137" s="43"/>
      <c r="Z137" s="43">
        <v>0.447090784422622</v>
      </c>
      <c r="AA137" s="39"/>
      <c r="AB137" s="39"/>
      <c r="AC137" s="39"/>
      <c r="AD137" s="39"/>
      <c r="AE137" s="39"/>
      <c r="AF137" s="39"/>
      <c r="AG137" s="43"/>
      <c r="AH137" s="43"/>
    </row>
    <row r="138" spans="1:34">
      <c r="A138" s="35" t="s">
        <v>60</v>
      </c>
      <c r="B138" s="39"/>
      <c r="C138" s="39"/>
      <c r="D138" s="40" t="s">
        <v>75</v>
      </c>
      <c r="E138" s="36" t="s">
        <v>14</v>
      </c>
      <c r="F138" s="36">
        <v>-0.0225051126762986</v>
      </c>
      <c r="G138" s="36">
        <f t="shared" ref="G138:K138" si="289">ABS(F138)</f>
        <v>0.0225051126762986</v>
      </c>
      <c r="H138" s="39">
        <v>0.0494658045576337</v>
      </c>
      <c r="I138" s="36">
        <f t="shared" si="289"/>
        <v>0.0494658045576337</v>
      </c>
      <c r="J138" s="36">
        <v>0.0466198039541556</v>
      </c>
      <c r="K138" s="36">
        <f t="shared" si="289"/>
        <v>0.0466198039541556</v>
      </c>
      <c r="L138" s="39">
        <v>0.00963742489182397</v>
      </c>
      <c r="M138" s="36">
        <f t="shared" ref="M138:Q138" si="290">ABS(L138)</f>
        <v>0.00963742489182397</v>
      </c>
      <c r="N138" s="39">
        <v>-0.0136229562691193</v>
      </c>
      <c r="O138" s="36">
        <f t="shared" si="290"/>
        <v>0.0136229562691193</v>
      </c>
      <c r="P138" s="39">
        <v>-0.0338211681386572</v>
      </c>
      <c r="Q138" s="36">
        <f t="shared" si="290"/>
        <v>0.0338211681386572</v>
      </c>
      <c r="R138" s="39">
        <v>0.472553114888635</v>
      </c>
      <c r="S138" s="39">
        <f t="shared" si="269"/>
        <v>4.76245145090247</v>
      </c>
      <c r="T138" s="39">
        <f t="shared" si="270"/>
        <v>10.46777663698</v>
      </c>
      <c r="U138" s="39">
        <f t="shared" si="271"/>
        <v>9.86551616851416</v>
      </c>
      <c r="V138" s="39">
        <f t="shared" si="272"/>
        <v>2.03943738559319</v>
      </c>
      <c r="W138" s="39">
        <f t="shared" si="273"/>
        <v>2.88284128067377</v>
      </c>
      <c r="X138" s="39">
        <f t="shared" si="274"/>
        <v>7.15711463390263</v>
      </c>
      <c r="Y138" s="43"/>
      <c r="Z138" s="43">
        <v>0.370546426481549</v>
      </c>
      <c r="AA138" s="39"/>
      <c r="AB138" s="39"/>
      <c r="AC138" s="39"/>
      <c r="AD138" s="39"/>
      <c r="AE138" s="39"/>
      <c r="AF138" s="39"/>
      <c r="AG138" s="43"/>
      <c r="AH138" s="43"/>
    </row>
    <row r="139" spans="1:34">
      <c r="A139" s="35" t="s">
        <v>60</v>
      </c>
      <c r="B139" s="39"/>
      <c r="C139" s="39"/>
      <c r="D139" s="40" t="s">
        <v>75</v>
      </c>
      <c r="E139" s="36" t="s">
        <v>15</v>
      </c>
      <c r="F139" s="36">
        <v>-0.0242534904476773</v>
      </c>
      <c r="G139" s="36">
        <f t="shared" ref="G139:K139" si="291">ABS(F139)</f>
        <v>0.0242534904476773</v>
      </c>
      <c r="H139" s="39">
        <v>0.146687320945257</v>
      </c>
      <c r="I139" s="36">
        <f t="shared" si="291"/>
        <v>0.146687320945257</v>
      </c>
      <c r="J139" s="36">
        <v>-0.109501726190628</v>
      </c>
      <c r="K139" s="36">
        <f t="shared" si="291"/>
        <v>0.109501726190628</v>
      </c>
      <c r="L139" s="39">
        <v>0.000617606162990374</v>
      </c>
      <c r="M139" s="36">
        <f t="shared" ref="M139:Q139" si="292">ABS(L139)</f>
        <v>0.000617606162990374</v>
      </c>
      <c r="N139" s="39">
        <v>-0.0125595353212719</v>
      </c>
      <c r="O139" s="36">
        <f t="shared" si="292"/>
        <v>0.0125595353212719</v>
      </c>
      <c r="P139" s="39">
        <v>-0.0171666457369053</v>
      </c>
      <c r="Q139" s="36">
        <f t="shared" si="292"/>
        <v>0.0171666457369053</v>
      </c>
      <c r="R139" s="39">
        <f>G139+I139+K139+M139+O139+Q139</f>
        <v>0.31078632480473</v>
      </c>
      <c r="S139" s="39">
        <f t="shared" si="269"/>
        <v>7.80391172710576</v>
      </c>
      <c r="T139" s="39">
        <f t="shared" si="270"/>
        <v>47.1987694559669</v>
      </c>
      <c r="U139" s="39">
        <f t="shared" si="271"/>
        <v>35.2337659192144</v>
      </c>
      <c r="V139" s="39">
        <f t="shared" si="272"/>
        <v>0.198723725498032</v>
      </c>
      <c r="W139" s="39">
        <f t="shared" si="273"/>
        <v>4.0412123439354</v>
      </c>
      <c r="X139" s="39">
        <f t="shared" si="274"/>
        <v>5.52361682827945</v>
      </c>
      <c r="Y139" s="43"/>
      <c r="Z139" s="43">
        <v>0.471752195917644</v>
      </c>
      <c r="AA139" s="39"/>
      <c r="AB139" s="39"/>
      <c r="AC139" s="39"/>
      <c r="AD139" s="39"/>
      <c r="AE139" s="39"/>
      <c r="AF139" s="39"/>
      <c r="AG139" s="43"/>
      <c r="AH139" s="43"/>
    </row>
    <row r="140" spans="1:34">
      <c r="A140" s="35" t="s">
        <v>61</v>
      </c>
      <c r="B140" s="39"/>
      <c r="C140" s="39"/>
      <c r="D140" s="40" t="s">
        <v>75</v>
      </c>
      <c r="E140" s="36" t="s">
        <v>8</v>
      </c>
      <c r="F140" s="36">
        <v>0.55830749035241</v>
      </c>
      <c r="G140" s="36">
        <f t="shared" ref="G140:K140" si="293">ABS(F140)</f>
        <v>0.55830749035241</v>
      </c>
      <c r="H140" s="39">
        <v>0.240885238518849</v>
      </c>
      <c r="I140" s="36">
        <f t="shared" si="293"/>
        <v>0.240885238518849</v>
      </c>
      <c r="J140" s="36">
        <v>-0.295643220720574</v>
      </c>
      <c r="K140" s="36">
        <f t="shared" si="293"/>
        <v>0.295643220720574</v>
      </c>
      <c r="L140" s="39">
        <v>0.0295166415862021</v>
      </c>
      <c r="M140" s="36">
        <f t="shared" ref="M140:Q140" si="294">ABS(L140)</f>
        <v>0.0295166415862021</v>
      </c>
      <c r="N140" s="39">
        <v>0.489421674257075</v>
      </c>
      <c r="O140" s="36">
        <f t="shared" si="294"/>
        <v>0.489421674257075</v>
      </c>
      <c r="P140" s="39">
        <v>0.560138866687912</v>
      </c>
      <c r="Q140" s="36">
        <f t="shared" si="294"/>
        <v>0.560138866687912</v>
      </c>
      <c r="R140" s="39">
        <f>G140+I140+K140+M140+O140+Q140+G141+I141+K141+M141</f>
        <v>3.289907484536</v>
      </c>
      <c r="S140" s="39">
        <f t="shared" si="269"/>
        <v>16.9703097420428</v>
      </c>
      <c r="T140" s="39">
        <f t="shared" si="270"/>
        <v>7.32194566719929</v>
      </c>
      <c r="U140" s="39">
        <f t="shared" si="271"/>
        <v>8.98636882982959</v>
      </c>
      <c r="V140" s="39">
        <f t="shared" si="272"/>
        <v>0.897187587339254</v>
      </c>
      <c r="W140" s="39">
        <f t="shared" si="273"/>
        <v>14.876457060193</v>
      </c>
      <c r="X140" s="39">
        <f t="shared" si="274"/>
        <v>17.0259762416058</v>
      </c>
      <c r="Y140" s="43"/>
      <c r="Z140" s="43">
        <v>0.523444810620288</v>
      </c>
      <c r="AA140" s="39"/>
      <c r="AB140" s="39"/>
      <c r="AC140" s="39"/>
      <c r="AD140" s="39"/>
      <c r="AE140" s="39"/>
      <c r="AF140" s="39"/>
      <c r="AG140" s="43"/>
      <c r="AH140" s="43"/>
    </row>
    <row r="141" spans="1:34">
      <c r="A141" s="35" t="s">
        <v>61</v>
      </c>
      <c r="B141" s="39"/>
      <c r="C141" s="39"/>
      <c r="D141" s="40" t="s">
        <v>75</v>
      </c>
      <c r="E141" s="36" t="s">
        <v>14</v>
      </c>
      <c r="F141" s="36">
        <v>-0.0171599156557667</v>
      </c>
      <c r="G141" s="36">
        <f t="shared" ref="G141:K141" si="295">ABS(F141)</f>
        <v>0.0171599156557667</v>
      </c>
      <c r="H141" s="39">
        <v>0.220098852087459</v>
      </c>
      <c r="I141" s="36">
        <f t="shared" si="295"/>
        <v>0.220098852087459</v>
      </c>
      <c r="J141" s="36">
        <v>0.739374141649558</v>
      </c>
      <c r="K141" s="36">
        <f t="shared" si="295"/>
        <v>0.739374141649558</v>
      </c>
      <c r="L141" s="39">
        <v>-0.139361443020198</v>
      </c>
      <c r="M141" s="36">
        <f t="shared" ref="M141:Q141" si="296">ABS(L141)</f>
        <v>0.139361443020198</v>
      </c>
      <c r="N141" s="39">
        <v>0.489421674257075</v>
      </c>
      <c r="O141" s="36">
        <f t="shared" si="296"/>
        <v>0.489421674257075</v>
      </c>
      <c r="P141" s="39">
        <v>0.456056077820877</v>
      </c>
      <c r="Q141" s="36">
        <f t="shared" si="296"/>
        <v>0.456056077820877</v>
      </c>
      <c r="R141" s="39">
        <v>3.289907484536</v>
      </c>
      <c r="S141" s="39">
        <f t="shared" si="269"/>
        <v>0.521592650748563</v>
      </c>
      <c r="T141" s="39">
        <f t="shared" si="270"/>
        <v>6.69012284150906</v>
      </c>
      <c r="U141" s="39">
        <f t="shared" si="271"/>
        <v>22.474010139341</v>
      </c>
      <c r="V141" s="39">
        <f t="shared" si="272"/>
        <v>4.23602924019163</v>
      </c>
      <c r="W141" s="39">
        <f t="shared" si="273"/>
        <v>14.876457060193</v>
      </c>
      <c r="X141" s="39">
        <f t="shared" si="274"/>
        <v>13.8622766738742</v>
      </c>
      <c r="Y141" s="43"/>
      <c r="Z141" s="43">
        <v>0.748485545411792</v>
      </c>
      <c r="AA141" s="39"/>
      <c r="AB141" s="39"/>
      <c r="AC141" s="39"/>
      <c r="AD141" s="39"/>
      <c r="AE141" s="39"/>
      <c r="AF141" s="39"/>
      <c r="AG141" s="43"/>
      <c r="AH141" s="43"/>
    </row>
    <row r="142" spans="1:34">
      <c r="A142" s="35" t="s">
        <v>61</v>
      </c>
      <c r="B142" s="39"/>
      <c r="C142" s="39"/>
      <c r="D142" s="40" t="s">
        <v>75</v>
      </c>
      <c r="E142" s="36" t="s">
        <v>15</v>
      </c>
      <c r="F142" s="36">
        <v>0.0964273824197666</v>
      </c>
      <c r="G142" s="36">
        <f t="shared" ref="G142:K142" si="297">ABS(F142)</f>
        <v>0.0964273824197666</v>
      </c>
      <c r="H142" s="39">
        <v>0.958422772074178</v>
      </c>
      <c r="I142" s="36">
        <f t="shared" si="297"/>
        <v>0.958422772074178</v>
      </c>
      <c r="J142" s="36">
        <v>0.640482324274225</v>
      </c>
      <c r="K142" s="36">
        <f t="shared" si="297"/>
        <v>0.640482324274225</v>
      </c>
      <c r="L142" s="39">
        <v>0.0380373734170952</v>
      </c>
      <c r="M142" s="36">
        <f t="shared" ref="M142:Q142" si="298">ABS(L142)</f>
        <v>0.0380373734170952</v>
      </c>
      <c r="N142" s="39">
        <v>0.113616225081266</v>
      </c>
      <c r="O142" s="36">
        <f t="shared" si="298"/>
        <v>0.113616225081266</v>
      </c>
      <c r="P142" s="39">
        <v>1.02801392273347</v>
      </c>
      <c r="Q142" s="36">
        <f t="shared" si="298"/>
        <v>1.02801392273347</v>
      </c>
      <c r="R142" s="39">
        <f>G142+I142+K142+M142+O142+Q142</f>
        <v>2.875</v>
      </c>
      <c r="S142" s="39">
        <f t="shared" si="269"/>
        <v>3.35399591025275</v>
      </c>
      <c r="T142" s="39">
        <f t="shared" si="270"/>
        <v>33.3364442460584</v>
      </c>
      <c r="U142" s="39">
        <f t="shared" si="271"/>
        <v>22.2776460617122</v>
      </c>
      <c r="V142" s="39">
        <f t="shared" si="272"/>
        <v>1.32303907537722</v>
      </c>
      <c r="W142" s="39">
        <f t="shared" si="273"/>
        <v>3.95186869847882</v>
      </c>
      <c r="X142" s="39">
        <f t="shared" si="274"/>
        <v>35.7570060081207</v>
      </c>
      <c r="Y142" s="43"/>
      <c r="Z142" s="43">
        <v>0.735242988670596</v>
      </c>
      <c r="AA142" s="39"/>
      <c r="AB142" s="39"/>
      <c r="AC142" s="39"/>
      <c r="AD142" s="39"/>
      <c r="AE142" s="39"/>
      <c r="AF142" s="39"/>
      <c r="AG142" s="43"/>
      <c r="AH142" s="43"/>
    </row>
    <row r="143" spans="1:34">
      <c r="A143" s="35" t="s">
        <v>62</v>
      </c>
      <c r="B143" s="39"/>
      <c r="C143" s="39"/>
      <c r="D143" s="40" t="s">
        <v>75</v>
      </c>
      <c r="E143" s="36" t="s">
        <v>8</v>
      </c>
      <c r="F143" s="36">
        <v>0.112293831877256</v>
      </c>
      <c r="G143" s="36">
        <f t="shared" ref="G143:K143" si="299">ABS(F143)</f>
        <v>0.112293831877256</v>
      </c>
      <c r="H143" s="39">
        <v>0.0518172044979322</v>
      </c>
      <c r="I143" s="36">
        <f t="shared" si="299"/>
        <v>0.0518172044979322</v>
      </c>
      <c r="J143" s="36">
        <v>-0.192848661474887</v>
      </c>
      <c r="K143" s="36">
        <f t="shared" si="299"/>
        <v>0.192848661474887</v>
      </c>
      <c r="L143" s="39">
        <v>-0.00349994468908368</v>
      </c>
      <c r="M143" s="36">
        <f t="shared" ref="M143:Q143" si="300">ABS(L143)</f>
        <v>0.00349994468908368</v>
      </c>
      <c r="N143" s="39">
        <v>0.206466163244349</v>
      </c>
      <c r="O143" s="36">
        <f t="shared" si="300"/>
        <v>0.206466163244349</v>
      </c>
      <c r="P143" s="39">
        <v>0.0672489284102858</v>
      </c>
      <c r="Q143" s="36">
        <f t="shared" si="300"/>
        <v>0.0672489284102858</v>
      </c>
      <c r="R143" s="39">
        <f>G143+I143+K143+M143+O143+Q143+G144+I144+K144+M144</f>
        <v>0.975436400717982</v>
      </c>
      <c r="S143" s="39">
        <f t="shared" si="269"/>
        <v>11.5121633552532</v>
      </c>
      <c r="T143" s="39">
        <f t="shared" si="270"/>
        <v>5.31220738325856</v>
      </c>
      <c r="U143" s="39">
        <f t="shared" si="271"/>
        <v>19.7705008069146</v>
      </c>
      <c r="V143" s="39">
        <f t="shared" si="272"/>
        <v>0.358808086975994</v>
      </c>
      <c r="W143" s="39">
        <f t="shared" si="273"/>
        <v>21.1665427999588</v>
      </c>
      <c r="X143" s="39">
        <f t="shared" si="274"/>
        <v>6.89424019452077</v>
      </c>
      <c r="Y143" s="43"/>
      <c r="Z143" s="43">
        <v>0.344679824017915</v>
      </c>
      <c r="AA143" s="39"/>
      <c r="AB143" s="39"/>
      <c r="AC143" s="39"/>
      <c r="AD143" s="39"/>
      <c r="AE143" s="39"/>
      <c r="AF143" s="39"/>
      <c r="AG143" s="43"/>
      <c r="AH143" s="43"/>
    </row>
    <row r="144" spans="1:34">
      <c r="A144" s="35" t="s">
        <v>62</v>
      </c>
      <c r="B144" s="39"/>
      <c r="C144" s="39"/>
      <c r="D144" s="40" t="s">
        <v>75</v>
      </c>
      <c r="E144" s="36" t="s">
        <v>14</v>
      </c>
      <c r="F144" s="36">
        <v>-0.033323027131477</v>
      </c>
      <c r="G144" s="36">
        <f t="shared" ref="G144:K144" si="301">ABS(F144)</f>
        <v>0.033323027131477</v>
      </c>
      <c r="H144" s="39">
        <v>0.0903338490056983</v>
      </c>
      <c r="I144" s="36">
        <f t="shared" si="301"/>
        <v>0.0903338490056983</v>
      </c>
      <c r="J144" s="36">
        <v>0.196031024054236</v>
      </c>
      <c r="K144" s="36">
        <f t="shared" si="301"/>
        <v>0.196031024054236</v>
      </c>
      <c r="L144" s="39">
        <v>-0.0215737663327771</v>
      </c>
      <c r="M144" s="36">
        <f t="shared" ref="M144:Q144" si="302">ABS(L144)</f>
        <v>0.0215737663327771</v>
      </c>
      <c r="N144" s="39">
        <v>0.206466163244349</v>
      </c>
      <c r="O144" s="36">
        <f t="shared" si="302"/>
        <v>0.206466163244349</v>
      </c>
      <c r="P144" s="39">
        <v>0.00626693690113897</v>
      </c>
      <c r="Q144" s="36">
        <f t="shared" si="302"/>
        <v>0.00626693690113897</v>
      </c>
      <c r="R144" s="39">
        <v>0.975436400717983</v>
      </c>
      <c r="S144" s="39">
        <f t="shared" si="269"/>
        <v>3.41621730611541</v>
      </c>
      <c r="T144" s="39">
        <f t="shared" si="270"/>
        <v>9.26086507938466</v>
      </c>
      <c r="U144" s="39">
        <f t="shared" si="271"/>
        <v>20.0967509424443</v>
      </c>
      <c r="V144" s="39">
        <f t="shared" si="272"/>
        <v>2.21170404517377</v>
      </c>
      <c r="W144" s="39">
        <f t="shared" si="273"/>
        <v>21.1665427999587</v>
      </c>
      <c r="X144" s="39">
        <f t="shared" si="274"/>
        <v>0.642475193311025</v>
      </c>
      <c r="Y144" s="43"/>
      <c r="Z144" s="43">
        <v>0.822843036472798</v>
      </c>
      <c r="AA144" s="39"/>
      <c r="AB144" s="39"/>
      <c r="AC144" s="39"/>
      <c r="AD144" s="39"/>
      <c r="AE144" s="39"/>
      <c r="AF144" s="39"/>
      <c r="AG144" s="43"/>
      <c r="AH144" s="43"/>
    </row>
    <row r="145" spans="1:34">
      <c r="A145" s="35" t="s">
        <v>62</v>
      </c>
      <c r="B145" s="39"/>
      <c r="C145" s="39"/>
      <c r="D145" s="40" t="s">
        <v>75</v>
      </c>
      <c r="E145" s="36" t="s">
        <v>15</v>
      </c>
      <c r="F145" s="36">
        <v>-0.0128389355086275</v>
      </c>
      <c r="G145" s="36">
        <f t="shared" ref="G145:K145" si="303">ABS(F145)</f>
        <v>0.0128389355086275</v>
      </c>
      <c r="H145" s="39">
        <v>0.289315364437003</v>
      </c>
      <c r="I145" s="36">
        <f t="shared" si="303"/>
        <v>0.289315364437003</v>
      </c>
      <c r="J145" s="36">
        <v>0.094871597144854</v>
      </c>
      <c r="K145" s="36">
        <f t="shared" si="303"/>
        <v>0.094871597144854</v>
      </c>
      <c r="L145" s="39">
        <v>-0.0276197769448552</v>
      </c>
      <c r="M145" s="36">
        <f t="shared" ref="M145:Q145" si="304">ABS(L145)</f>
        <v>0.0276197769448552</v>
      </c>
      <c r="N145" s="39">
        <v>0.0999116476727694</v>
      </c>
      <c r="O145" s="36">
        <f t="shared" si="304"/>
        <v>0.0999116476727694</v>
      </c>
      <c r="P145" s="39">
        <v>0.235771867904738</v>
      </c>
      <c r="Q145" s="36">
        <f t="shared" si="304"/>
        <v>0.235771867904738</v>
      </c>
      <c r="R145" s="39">
        <f>G145+I145+K145+M145+O145+Q145</f>
        <v>0.760329189612847</v>
      </c>
      <c r="S145" s="39">
        <f t="shared" si="269"/>
        <v>1.68860221125602</v>
      </c>
      <c r="T145" s="39">
        <f t="shared" si="270"/>
        <v>38.0513293964578</v>
      </c>
      <c r="U145" s="39">
        <f t="shared" si="271"/>
        <v>12.4777002436486</v>
      </c>
      <c r="V145" s="39">
        <f t="shared" si="272"/>
        <v>3.63260773388418</v>
      </c>
      <c r="W145" s="39">
        <f t="shared" si="273"/>
        <v>13.1405776652667</v>
      </c>
      <c r="X145" s="39">
        <f t="shared" si="274"/>
        <v>31.0091827494866</v>
      </c>
      <c r="Y145" s="43"/>
      <c r="Z145" s="43">
        <v>0.71937430268201</v>
      </c>
      <c r="AA145" s="39"/>
      <c r="AB145" s="39"/>
      <c r="AC145" s="39"/>
      <c r="AD145" s="39"/>
      <c r="AE145" s="39"/>
      <c r="AF145" s="39"/>
      <c r="AG145" s="43"/>
      <c r="AH145" s="43"/>
    </row>
    <row r="146" spans="1:34">
      <c r="A146" s="35" t="s">
        <v>63</v>
      </c>
      <c r="B146" s="39"/>
      <c r="C146" s="39"/>
      <c r="D146" s="40" t="s">
        <v>75</v>
      </c>
      <c r="E146" s="36" t="s">
        <v>8</v>
      </c>
      <c r="F146" s="36">
        <v>0.334410346840579</v>
      </c>
      <c r="G146" s="36">
        <f t="shared" ref="G146:K146" si="305">ABS(F146)</f>
        <v>0.334410346840579</v>
      </c>
      <c r="H146" s="39">
        <v>0.0933085918113754</v>
      </c>
      <c r="I146" s="36">
        <f t="shared" si="305"/>
        <v>0.0933085918113754</v>
      </c>
      <c r="J146" s="36">
        <v>-0.084187228855314</v>
      </c>
      <c r="K146" s="36">
        <f t="shared" si="305"/>
        <v>0.084187228855314</v>
      </c>
      <c r="L146" s="39">
        <v>0.0380638127445944</v>
      </c>
      <c r="M146" s="36">
        <f t="shared" ref="M146:Q146" si="306">ABS(L146)</f>
        <v>0.0380638127445944</v>
      </c>
      <c r="N146" s="39">
        <v>-0.0257312940706673</v>
      </c>
      <c r="O146" s="36">
        <f t="shared" si="306"/>
        <v>0.0257312940706673</v>
      </c>
      <c r="P146" s="39">
        <v>0.82423250640699</v>
      </c>
      <c r="Q146" s="36">
        <f t="shared" si="306"/>
        <v>0.82423250640699</v>
      </c>
      <c r="R146" s="39">
        <f>G146+I146+K146+M146+O146+Q146+G147+I147+K147+M147</f>
        <v>2.58233304580498</v>
      </c>
      <c r="S146" s="39">
        <f t="shared" si="269"/>
        <v>12.9499309697419</v>
      </c>
      <c r="T146" s="39">
        <f t="shared" si="270"/>
        <v>3.61334460568345</v>
      </c>
      <c r="U146" s="39">
        <f t="shared" si="271"/>
        <v>3.26012281770071</v>
      </c>
      <c r="V146" s="39">
        <f t="shared" si="272"/>
        <v>1.47400866075076</v>
      </c>
      <c r="W146" s="39">
        <f t="shared" si="273"/>
        <v>0.996435921093446</v>
      </c>
      <c r="X146" s="39">
        <f t="shared" si="274"/>
        <v>31.9181334005682</v>
      </c>
      <c r="Y146" s="43"/>
      <c r="Z146" s="43">
        <v>0.443930346622771</v>
      </c>
      <c r="AA146" s="39"/>
      <c r="AB146" s="39"/>
      <c r="AC146" s="39"/>
      <c r="AD146" s="39"/>
      <c r="AE146" s="39"/>
      <c r="AF146" s="39"/>
      <c r="AG146" s="43"/>
      <c r="AH146" s="43"/>
    </row>
    <row r="147" spans="1:34">
      <c r="A147" s="35" t="s">
        <v>63</v>
      </c>
      <c r="B147" s="39"/>
      <c r="C147" s="39"/>
      <c r="D147" s="40" t="s">
        <v>75</v>
      </c>
      <c r="E147" s="36" t="s">
        <v>14</v>
      </c>
      <c r="F147" s="36">
        <v>0.0340722412982318</v>
      </c>
      <c r="G147" s="36">
        <f t="shared" ref="G147:K147" si="307">ABS(F147)</f>
        <v>0.0340722412982318</v>
      </c>
      <c r="H147" s="39">
        <v>0.655329010100633</v>
      </c>
      <c r="I147" s="36">
        <f t="shared" si="307"/>
        <v>0.655329010100633</v>
      </c>
      <c r="J147" s="36">
        <v>0.471999256010909</v>
      </c>
      <c r="K147" s="36">
        <f t="shared" si="307"/>
        <v>0.471999256010909</v>
      </c>
      <c r="L147" s="39">
        <v>0.0209987576656865</v>
      </c>
      <c r="M147" s="36">
        <f t="shared" ref="M147:Q147" si="308">ABS(L147)</f>
        <v>0.0209987576656865</v>
      </c>
      <c r="N147" s="39">
        <v>-0.0257312940706673</v>
      </c>
      <c r="O147" s="36">
        <f t="shared" si="308"/>
        <v>0.0257312940706673</v>
      </c>
      <c r="P147" s="39">
        <v>0.277434327438314</v>
      </c>
      <c r="Q147" s="36">
        <f t="shared" si="308"/>
        <v>0.277434327438314</v>
      </c>
      <c r="R147" s="39">
        <v>2.58233304580498</v>
      </c>
      <c r="S147" s="39">
        <f t="shared" si="269"/>
        <v>1.31943636602499</v>
      </c>
      <c r="T147" s="39">
        <f t="shared" si="270"/>
        <v>25.3774009191115</v>
      </c>
      <c r="U147" s="39">
        <f t="shared" si="271"/>
        <v>18.2780163378878</v>
      </c>
      <c r="V147" s="39">
        <f t="shared" si="272"/>
        <v>0.813170001437233</v>
      </c>
      <c r="W147" s="39">
        <f t="shared" si="273"/>
        <v>0.996435921093446</v>
      </c>
      <c r="X147" s="39">
        <f t="shared" si="274"/>
        <v>10.7435533107942</v>
      </c>
      <c r="Y147" s="43"/>
      <c r="Z147" s="43">
        <v>0.706299001332266</v>
      </c>
      <c r="AA147" s="39"/>
      <c r="AB147" s="39"/>
      <c r="AC147" s="39"/>
      <c r="AD147" s="39"/>
      <c r="AE147" s="39"/>
      <c r="AF147" s="39"/>
      <c r="AG147" s="43"/>
      <c r="AH147" s="43"/>
    </row>
    <row r="148" spans="1:34">
      <c r="A148" s="35" t="s">
        <v>63</v>
      </c>
      <c r="B148" s="39"/>
      <c r="C148" s="39"/>
      <c r="D148" s="40" t="s">
        <v>75</v>
      </c>
      <c r="E148" s="36" t="s">
        <v>15</v>
      </c>
      <c r="F148" s="36">
        <v>0.132158023301463</v>
      </c>
      <c r="G148" s="36">
        <f t="shared" ref="G148:K148" si="309">ABS(F148)</f>
        <v>0.132158023301463</v>
      </c>
      <c r="H148" s="39">
        <v>0.942871789097148</v>
      </c>
      <c r="I148" s="36">
        <f t="shared" si="309"/>
        <v>0.942871789097148</v>
      </c>
      <c r="J148" s="36">
        <v>0.381535075372307</v>
      </c>
      <c r="K148" s="36">
        <f t="shared" si="309"/>
        <v>0.381535075372307</v>
      </c>
      <c r="L148" s="39">
        <v>0.0359744257408034</v>
      </c>
      <c r="M148" s="36">
        <f t="shared" ref="M148:Q148" si="310">ABS(L148)</f>
        <v>0.0359744257408034</v>
      </c>
      <c r="N148" s="39">
        <v>0.0280920027487751</v>
      </c>
      <c r="O148" s="36">
        <f t="shared" si="310"/>
        <v>0.0280920027487751</v>
      </c>
      <c r="P148" s="39">
        <v>0.816133389621853</v>
      </c>
      <c r="Q148" s="36">
        <f t="shared" si="310"/>
        <v>0.816133389621853</v>
      </c>
      <c r="R148" s="39">
        <f>G148+I148+K148+M148+O148+Q148</f>
        <v>2.33676470588235</v>
      </c>
      <c r="S148" s="39">
        <f t="shared" si="269"/>
        <v>5.65559822813058</v>
      </c>
      <c r="T148" s="39">
        <f t="shared" si="270"/>
        <v>40.3494535296452</v>
      </c>
      <c r="U148" s="39">
        <f t="shared" si="271"/>
        <v>16.3274922122825</v>
      </c>
      <c r="V148" s="39">
        <f t="shared" si="272"/>
        <v>1.53949713679964</v>
      </c>
      <c r="W148" s="39">
        <f t="shared" si="273"/>
        <v>1.20217507043216</v>
      </c>
      <c r="X148" s="39">
        <f t="shared" si="274"/>
        <v>34.9257838227099</v>
      </c>
      <c r="Y148" s="43"/>
      <c r="Z148" s="43">
        <v>0.671682938381407</v>
      </c>
      <c r="AA148" s="39"/>
      <c r="AB148" s="39"/>
      <c r="AC148" s="39"/>
      <c r="AD148" s="39"/>
      <c r="AE148" s="39"/>
      <c r="AF148" s="39"/>
      <c r="AG148" s="43"/>
      <c r="AH148" s="43"/>
    </row>
    <row r="149" spans="9:34">
      <c r="I149" s="35"/>
      <c r="J149" s="39"/>
      <c r="K149" s="39"/>
      <c r="L149" s="40"/>
      <c r="M149" s="36"/>
      <c r="N149" s="36"/>
      <c r="O149" s="36"/>
      <c r="P149" s="39"/>
      <c r="Q149" s="36"/>
      <c r="R149" s="36"/>
      <c r="S149" s="36"/>
      <c r="T149" s="39"/>
      <c r="U149" s="36"/>
      <c r="V149" s="39"/>
      <c r="W149" s="36"/>
      <c r="X149" s="39"/>
      <c r="Y149" s="36"/>
      <c r="Z149" s="39"/>
      <c r="AA149" s="39"/>
      <c r="AB149" s="39"/>
      <c r="AC149" s="39"/>
      <c r="AD149" s="39"/>
      <c r="AE149" s="39"/>
      <c r="AF149" s="39"/>
      <c r="AG149" s="43"/>
      <c r="AH149" s="43"/>
    </row>
    <row r="150" spans="9:34">
      <c r="I150" s="35"/>
      <c r="J150" s="39"/>
      <c r="K150" s="39"/>
      <c r="L150" s="40"/>
      <c r="M150" s="36"/>
      <c r="N150" s="36"/>
      <c r="O150" s="36"/>
      <c r="P150" s="39"/>
      <c r="Q150" s="36"/>
      <c r="R150" s="36"/>
      <c r="S150" s="36"/>
      <c r="T150" s="39"/>
      <c r="U150" s="36"/>
      <c r="V150" s="39"/>
      <c r="W150" s="36"/>
      <c r="X150" s="39"/>
      <c r="Y150" s="36"/>
      <c r="Z150" s="39"/>
      <c r="AA150" s="39"/>
      <c r="AB150" s="39"/>
      <c r="AC150" s="39"/>
      <c r="AD150" s="39"/>
      <c r="AE150" s="39"/>
      <c r="AF150" s="39"/>
      <c r="AG150" s="43"/>
      <c r="AH150" s="43"/>
    </row>
    <row r="151" spans="9:34">
      <c r="I151" s="35"/>
      <c r="J151" s="39"/>
      <c r="K151" s="39"/>
      <c r="L151" s="40"/>
      <c r="M151" s="36"/>
      <c r="N151" s="36"/>
      <c r="O151" s="36"/>
      <c r="P151" s="39"/>
      <c r="Q151" s="36"/>
      <c r="R151" s="36"/>
      <c r="S151" s="36"/>
      <c r="T151" s="39"/>
      <c r="U151" s="36"/>
      <c r="V151" s="39"/>
      <c r="W151" s="36"/>
      <c r="X151" s="39"/>
      <c r="Y151" s="36"/>
      <c r="Z151" s="39"/>
      <c r="AA151" s="39"/>
      <c r="AB151" s="39"/>
      <c r="AC151" s="39"/>
      <c r="AD151" s="39"/>
      <c r="AE151" s="39"/>
      <c r="AF151" s="39"/>
      <c r="AG151" s="43"/>
      <c r="AH151" s="43"/>
    </row>
    <row r="152" spans="9:34">
      <c r="I152" s="35"/>
      <c r="J152" s="39"/>
      <c r="K152" s="39"/>
      <c r="L152" s="40"/>
      <c r="M152" s="36"/>
      <c r="N152" s="36"/>
      <c r="O152" s="36"/>
      <c r="P152" s="39"/>
      <c r="Q152" s="36"/>
      <c r="R152" s="36"/>
      <c r="S152" s="36"/>
      <c r="T152" s="39"/>
      <c r="U152" s="36"/>
      <c r="V152" s="39"/>
      <c r="W152" s="36"/>
      <c r="X152" s="39"/>
      <c r="Y152" s="36"/>
      <c r="Z152" s="39"/>
      <c r="AA152" s="39"/>
      <c r="AB152" s="39"/>
      <c r="AC152" s="39"/>
      <c r="AD152" s="39"/>
      <c r="AE152" s="39"/>
      <c r="AF152" s="39"/>
      <c r="AG152" s="43"/>
      <c r="AH152" s="43"/>
    </row>
    <row r="153" spans="9:34">
      <c r="I153" s="35"/>
      <c r="J153" s="39"/>
      <c r="K153" s="39"/>
      <c r="L153" s="40"/>
      <c r="M153" s="36"/>
      <c r="N153" s="36"/>
      <c r="O153" s="36"/>
      <c r="P153" s="39"/>
      <c r="Q153" s="36"/>
      <c r="R153" s="36"/>
      <c r="S153" s="36"/>
      <c r="T153" s="39"/>
      <c r="U153" s="36"/>
      <c r="V153" s="39"/>
      <c r="W153" s="36"/>
      <c r="X153" s="39"/>
      <c r="Y153" s="36"/>
      <c r="Z153" s="39"/>
      <c r="AA153" s="39"/>
      <c r="AB153" s="39"/>
      <c r="AC153" s="39"/>
      <c r="AD153" s="39"/>
      <c r="AE153" s="39"/>
      <c r="AF153" s="39"/>
      <c r="AG153" s="43"/>
      <c r="AH153" s="43"/>
    </row>
    <row r="154" spans="9:34">
      <c r="I154" s="35"/>
      <c r="J154" s="39"/>
      <c r="K154" s="39"/>
      <c r="L154" s="40"/>
      <c r="M154" s="36"/>
      <c r="N154" s="36"/>
      <c r="O154" s="36"/>
      <c r="P154" s="39"/>
      <c r="Q154" s="36"/>
      <c r="R154" s="36"/>
      <c r="S154" s="36"/>
      <c r="T154" s="39"/>
      <c r="U154" s="36"/>
      <c r="V154" s="39"/>
      <c r="W154" s="36"/>
      <c r="X154" s="39"/>
      <c r="Y154" s="36"/>
      <c r="Z154" s="39"/>
      <c r="AA154" s="39"/>
      <c r="AB154" s="39"/>
      <c r="AC154" s="39"/>
      <c r="AD154" s="39"/>
      <c r="AE154" s="39"/>
      <c r="AF154" s="39"/>
      <c r="AG154" s="43"/>
      <c r="AH154" s="43"/>
    </row>
    <row r="155" spans="9:34">
      <c r="I155" s="35"/>
      <c r="J155" s="39"/>
      <c r="K155" s="39"/>
      <c r="L155" s="40"/>
      <c r="M155" s="36"/>
      <c r="N155" s="36"/>
      <c r="O155" s="36"/>
      <c r="P155" s="39"/>
      <c r="Q155" s="36"/>
      <c r="R155" s="36"/>
      <c r="S155" s="36"/>
      <c r="T155" s="39"/>
      <c r="U155" s="36"/>
      <c r="V155" s="39"/>
      <c r="W155" s="36"/>
      <c r="X155" s="39"/>
      <c r="Y155" s="36"/>
      <c r="Z155" s="39"/>
      <c r="AA155" s="39"/>
      <c r="AB155" s="39"/>
      <c r="AC155" s="39"/>
      <c r="AD155" s="39"/>
      <c r="AE155" s="39"/>
      <c r="AF155" s="39"/>
      <c r="AG155" s="43"/>
      <c r="AH155" s="43"/>
    </row>
    <row r="156" spans="9:34">
      <c r="I156" s="35"/>
      <c r="J156" s="39"/>
      <c r="K156" s="39"/>
      <c r="L156" s="40"/>
      <c r="M156" s="36"/>
      <c r="N156" s="36"/>
      <c r="O156" s="36"/>
      <c r="P156" s="39"/>
      <c r="Q156" s="36"/>
      <c r="R156" s="36"/>
      <c r="S156" s="36"/>
      <c r="T156" s="39"/>
      <c r="U156" s="36"/>
      <c r="V156" s="39"/>
      <c r="W156" s="36"/>
      <c r="X156" s="39"/>
      <c r="Y156" s="36"/>
      <c r="Z156" s="39"/>
      <c r="AA156" s="39"/>
      <c r="AB156" s="39"/>
      <c r="AC156" s="39"/>
      <c r="AD156" s="39"/>
      <c r="AE156" s="39"/>
      <c r="AF156" s="39"/>
      <c r="AG156" s="43"/>
      <c r="AH156" s="43"/>
    </row>
    <row r="157" spans="9:34">
      <c r="I157" s="35"/>
      <c r="J157" s="39"/>
      <c r="K157" s="39"/>
      <c r="L157" s="40"/>
      <c r="M157" s="36"/>
      <c r="N157" s="36"/>
      <c r="O157" s="36"/>
      <c r="P157" s="39"/>
      <c r="Q157" s="36"/>
      <c r="R157" s="36"/>
      <c r="S157" s="36"/>
      <c r="T157" s="39"/>
      <c r="U157" s="36"/>
      <c r="V157" s="39"/>
      <c r="W157" s="36"/>
      <c r="X157" s="39"/>
      <c r="Y157" s="36"/>
      <c r="Z157" s="39"/>
      <c r="AA157" s="39"/>
      <c r="AB157" s="39"/>
      <c r="AC157" s="39"/>
      <c r="AD157" s="39"/>
      <c r="AE157" s="39"/>
      <c r="AF157" s="39"/>
      <c r="AG157" s="43"/>
      <c r="AH157" s="43"/>
    </row>
    <row r="158" spans="9:34">
      <c r="I158" s="35"/>
      <c r="J158" s="39"/>
      <c r="K158" s="39"/>
      <c r="L158" s="40"/>
      <c r="M158" s="36"/>
      <c r="N158" s="36"/>
      <c r="O158" s="36"/>
      <c r="P158" s="39"/>
      <c r="Q158" s="36"/>
      <c r="R158" s="36"/>
      <c r="S158" s="36"/>
      <c r="T158" s="39"/>
      <c r="U158" s="36"/>
      <c r="V158" s="39"/>
      <c r="W158" s="36"/>
      <c r="X158" s="39"/>
      <c r="Y158" s="36"/>
      <c r="Z158" s="39"/>
      <c r="AA158" s="39"/>
      <c r="AB158" s="39"/>
      <c r="AC158" s="39"/>
      <c r="AD158" s="39"/>
      <c r="AE158" s="39"/>
      <c r="AF158" s="39"/>
      <c r="AG158" s="43"/>
      <c r="AH158" s="43"/>
    </row>
    <row r="159" spans="9:34">
      <c r="I159" s="35"/>
      <c r="J159" s="39"/>
      <c r="K159" s="39"/>
      <c r="L159" s="40"/>
      <c r="M159" s="36"/>
      <c r="N159" s="36"/>
      <c r="O159" s="36"/>
      <c r="P159" s="39"/>
      <c r="Q159" s="36"/>
      <c r="R159" s="36"/>
      <c r="S159" s="36"/>
      <c r="T159" s="39"/>
      <c r="U159" s="36"/>
      <c r="V159" s="39"/>
      <c r="W159" s="36"/>
      <c r="X159" s="39"/>
      <c r="Y159" s="36"/>
      <c r="Z159" s="39"/>
      <c r="AA159" s="39"/>
      <c r="AB159" s="39"/>
      <c r="AC159" s="39"/>
      <c r="AD159" s="39"/>
      <c r="AE159" s="39"/>
      <c r="AF159" s="39"/>
      <c r="AG159" s="43"/>
      <c r="AH159" s="43"/>
    </row>
    <row r="160" spans="9:34">
      <c r="I160" s="35"/>
      <c r="J160" s="39"/>
      <c r="K160" s="39"/>
      <c r="L160" s="40"/>
      <c r="M160" s="36"/>
      <c r="N160" s="36"/>
      <c r="O160" s="36"/>
      <c r="P160" s="39"/>
      <c r="Q160" s="36"/>
      <c r="R160" s="36"/>
      <c r="S160" s="36"/>
      <c r="T160" s="39"/>
      <c r="U160" s="36"/>
      <c r="V160" s="39"/>
      <c r="W160" s="36"/>
      <c r="X160" s="39"/>
      <c r="Y160" s="36"/>
      <c r="Z160" s="39"/>
      <c r="AA160" s="39"/>
      <c r="AB160" s="39"/>
      <c r="AC160" s="39"/>
      <c r="AD160" s="39"/>
      <c r="AE160" s="39"/>
      <c r="AF160" s="39"/>
      <c r="AG160" s="43"/>
      <c r="AH160" s="43"/>
    </row>
    <row r="161" spans="9:34">
      <c r="I161" s="35"/>
      <c r="J161" s="39"/>
      <c r="K161" s="39"/>
      <c r="L161" s="40"/>
      <c r="M161" s="36"/>
      <c r="N161" s="36"/>
      <c r="O161" s="36"/>
      <c r="P161" s="39"/>
      <c r="Q161" s="36"/>
      <c r="R161" s="36"/>
      <c r="S161" s="36"/>
      <c r="T161" s="39"/>
      <c r="U161" s="36"/>
      <c r="V161" s="39"/>
      <c r="W161" s="36"/>
      <c r="X161" s="39"/>
      <c r="Y161" s="36"/>
      <c r="Z161" s="39"/>
      <c r="AA161" s="39"/>
      <c r="AB161" s="39"/>
      <c r="AC161" s="39"/>
      <c r="AD161" s="39"/>
      <c r="AE161" s="39"/>
      <c r="AF161" s="39"/>
      <c r="AG161" s="43"/>
      <c r="AH161" s="43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2"/>
  <sheetViews>
    <sheetView zoomScale="70" zoomScaleNormal="70" topLeftCell="A11" workbookViewId="0">
      <selection activeCell="K11" sqref="$A1:$XFD1048576"/>
    </sheetView>
  </sheetViews>
  <sheetFormatPr defaultColWidth="8.72727272727273" defaultRowHeight="14"/>
  <cols>
    <col min="1" max="1" width="8.72727272727273" style="1"/>
    <col min="2" max="21" width="12.8181818181818" style="1"/>
    <col min="22" max="30" width="8.72727272727273" style="1"/>
    <col min="31" max="37" width="12.8181818181818" style="1"/>
    <col min="38" max="38" width="8.72727272727273" style="1"/>
    <col min="39" max="42" width="12.8181818181818" style="1"/>
    <col min="43" max="16384" width="8.72727272727273" style="1"/>
  </cols>
  <sheetData>
    <row r="1" s="1" customFormat="1" spans="1:36">
      <c r="A1" s="1" t="s">
        <v>85</v>
      </c>
      <c r="B1" s="3" t="s">
        <v>76</v>
      </c>
      <c r="C1" s="3" t="s">
        <v>78</v>
      </c>
      <c r="D1" s="4" t="s">
        <v>11</v>
      </c>
      <c r="E1" s="3" t="s">
        <v>12</v>
      </c>
      <c r="F1" s="5" t="s">
        <v>13</v>
      </c>
      <c r="G1" s="5" t="s">
        <v>69</v>
      </c>
      <c r="H1" s="1" t="s">
        <v>86</v>
      </c>
      <c r="I1" s="3" t="s">
        <v>76</v>
      </c>
      <c r="J1" s="3" t="s">
        <v>78</v>
      </c>
      <c r="K1" s="4" t="s">
        <v>11</v>
      </c>
      <c r="L1" s="3" t="s">
        <v>12</v>
      </c>
      <c r="M1" s="5" t="s">
        <v>87</v>
      </c>
      <c r="N1" s="3" t="s">
        <v>76</v>
      </c>
      <c r="O1" s="3" t="s">
        <v>78</v>
      </c>
      <c r="P1" s="4" t="s">
        <v>11</v>
      </c>
      <c r="Q1" s="3" t="s">
        <v>12</v>
      </c>
      <c r="R1" s="5" t="s">
        <v>13</v>
      </c>
      <c r="S1" s="5" t="s">
        <v>69</v>
      </c>
      <c r="T1" s="1"/>
      <c r="U1" s="1"/>
      <c r="V1" s="1"/>
      <c r="W1" s="25" t="s">
        <v>88</v>
      </c>
      <c r="X1" s="26" t="s">
        <v>76</v>
      </c>
      <c r="Y1" s="28" t="s">
        <v>13</v>
      </c>
      <c r="Z1" s="5" t="s">
        <v>69</v>
      </c>
      <c r="AA1" s="1"/>
      <c r="AB1" s="1"/>
      <c r="AC1" s="1"/>
      <c r="AD1" s="1"/>
      <c r="AE1" s="3" t="s">
        <v>89</v>
      </c>
      <c r="AF1" s="3" t="s">
        <v>90</v>
      </c>
      <c r="AG1" s="3" t="s">
        <v>91</v>
      </c>
      <c r="AH1" s="3" t="s">
        <v>92</v>
      </c>
      <c r="AI1" s="5" t="s">
        <v>13</v>
      </c>
      <c r="AJ1" s="5" t="s">
        <v>93</v>
      </c>
    </row>
    <row r="2" s="1" customFormat="1" spans="2:36">
      <c r="B2" s="1">
        <v>9.01117602489852</v>
      </c>
      <c r="C2" s="1">
        <v>0.293597787251548</v>
      </c>
      <c r="D2" s="1">
        <v>20.9251334670949</v>
      </c>
      <c r="E2" s="1">
        <v>5.32044492882844</v>
      </c>
      <c r="F2" s="1">
        <v>46.8648630369799</v>
      </c>
      <c r="G2" s="1">
        <v>17.5847847549466</v>
      </c>
      <c r="H2" s="1" t="s">
        <v>94</v>
      </c>
      <c r="I2" s="1">
        <v>1.48131113393918</v>
      </c>
      <c r="J2" s="1">
        <v>1.47882585510837</v>
      </c>
      <c r="K2" s="1">
        <v>14.7368926941471</v>
      </c>
      <c r="L2" s="1">
        <v>0.343135116356653</v>
      </c>
      <c r="M2" s="1"/>
      <c r="N2" s="1">
        <v>15.027158939137</v>
      </c>
      <c r="O2" s="1">
        <v>0.543674559074779</v>
      </c>
      <c r="P2" s="1">
        <v>4.20628648414998</v>
      </c>
      <c r="Q2" s="1">
        <v>1.26398637926464</v>
      </c>
      <c r="R2" s="1">
        <v>32.1044171311987</v>
      </c>
      <c r="S2" s="1">
        <v>28.8143117076236</v>
      </c>
      <c r="T2" s="1"/>
      <c r="U2" s="1"/>
      <c r="V2" s="1">
        <v>1</v>
      </c>
      <c r="W2" s="1">
        <v>26.5391761831749</v>
      </c>
      <c r="X2" s="1">
        <v>9.01117602489852</v>
      </c>
      <c r="Y2" s="1">
        <v>46.8648630369799</v>
      </c>
      <c r="Z2" s="1">
        <v>17.5847847549466</v>
      </c>
      <c r="AA2" s="1"/>
      <c r="AB2" s="1"/>
      <c r="AC2" s="1"/>
      <c r="AD2" s="1">
        <v>1</v>
      </c>
      <c r="AE2" s="1">
        <v>16.5588536656121</v>
      </c>
      <c r="AF2" s="1">
        <v>6.0139474224894</v>
      </c>
      <c r="AG2" s="1">
        <v>1.48131113393918</v>
      </c>
      <c r="AH2" s="1">
        <v>15.027158939137</v>
      </c>
      <c r="AI2" s="1">
        <v>32.1044171311987</v>
      </c>
      <c r="AJ2" s="1">
        <v>28.8143117076236</v>
      </c>
    </row>
    <row r="3" s="1" customFormat="1" spans="2:36">
      <c r="B3" s="1">
        <v>25.331167734811</v>
      </c>
      <c r="C3" s="1">
        <v>1.6295482484801</v>
      </c>
      <c r="D3" s="1">
        <v>47.555147293127</v>
      </c>
      <c r="E3" s="1">
        <v>5.52837042515768</v>
      </c>
      <c r="F3" s="1">
        <v>13.0612789599895</v>
      </c>
      <c r="G3" s="1">
        <v>6.89448733843476</v>
      </c>
      <c r="I3" s="1">
        <v>6.69181538662778</v>
      </c>
      <c r="J3" s="1">
        <v>0.0137606195555865</v>
      </c>
      <c r="K3" s="1">
        <v>33.7298907292552</v>
      </c>
      <c r="L3" s="1">
        <v>1.85630251006949</v>
      </c>
      <c r="M3" s="1"/>
      <c r="N3" s="1">
        <v>8.71321037170844</v>
      </c>
      <c r="O3" s="1">
        <v>3.00850076626449</v>
      </c>
      <c r="P3" s="1">
        <v>23.2746955637233</v>
      </c>
      <c r="Q3" s="1">
        <v>11.0816983273805</v>
      </c>
      <c r="R3" s="1">
        <v>6.97225748675788</v>
      </c>
      <c r="S3" s="1">
        <v>4.65786823865733</v>
      </c>
      <c r="T3" s="1"/>
      <c r="U3" s="1"/>
      <c r="V3" s="1">
        <v>2</v>
      </c>
      <c r="W3" s="1">
        <v>54.7130659667648</v>
      </c>
      <c r="X3" s="1">
        <v>25.331167734811</v>
      </c>
      <c r="Y3" s="1">
        <v>13.0612789599895</v>
      </c>
      <c r="Z3" s="1">
        <v>6.89448733843476</v>
      </c>
      <c r="AA3" s="1"/>
      <c r="AB3" s="1"/>
      <c r="AC3" s="1"/>
      <c r="AD3" s="1">
        <v>2</v>
      </c>
      <c r="AE3" s="1">
        <v>35.5999538588803</v>
      </c>
      <c r="AF3" s="1">
        <v>37.3648946573683</v>
      </c>
      <c r="AG3" s="1">
        <v>6.69181538662778</v>
      </c>
      <c r="AH3" s="1">
        <v>8.71321037170844</v>
      </c>
      <c r="AI3" s="1">
        <v>6.97225748675788</v>
      </c>
      <c r="AJ3" s="1">
        <v>4.65786823865733</v>
      </c>
    </row>
    <row r="4" s="1" customFormat="1" spans="2:36">
      <c r="B4" s="1">
        <v>24.4732522379283</v>
      </c>
      <c r="C4" s="1">
        <v>1.15538025762325</v>
      </c>
      <c r="D4" s="1">
        <v>8.38122501497043</v>
      </c>
      <c r="E4" s="1">
        <v>0.973518590789526</v>
      </c>
      <c r="F4" s="1">
        <v>28.9668048825464</v>
      </c>
      <c r="G4" s="1">
        <v>36.0498190161422</v>
      </c>
      <c r="I4" s="1">
        <v>2.6766745054268</v>
      </c>
      <c r="J4" s="1">
        <v>0.0706767946133616</v>
      </c>
      <c r="K4" s="1">
        <v>7.22189310354496</v>
      </c>
      <c r="L4" s="1">
        <v>8.12104476020847</v>
      </c>
      <c r="M4" s="1"/>
      <c r="N4" s="1">
        <v>27.9507618918559</v>
      </c>
      <c r="O4" s="1">
        <v>0.563216305734766</v>
      </c>
      <c r="P4" s="1">
        <v>15.8897488386388</v>
      </c>
      <c r="Q4" s="1">
        <v>3.20636375969123</v>
      </c>
      <c r="R4" s="1">
        <v>25.4689588161691</v>
      </c>
      <c r="S4" s="1">
        <v>8.83066122411659</v>
      </c>
      <c r="T4" s="1"/>
      <c r="U4" s="1"/>
      <c r="V4" s="1">
        <v>3</v>
      </c>
      <c r="W4" s="1">
        <v>10.5101238633832</v>
      </c>
      <c r="X4" s="1">
        <v>24.4732522379283</v>
      </c>
      <c r="Y4" s="1">
        <v>28.9668048825464</v>
      </c>
      <c r="Z4" s="1">
        <v>36.0498190161422</v>
      </c>
      <c r="AA4" s="1"/>
      <c r="AB4" s="1"/>
      <c r="AC4" s="1"/>
      <c r="AD4" s="1">
        <v>3</v>
      </c>
      <c r="AE4" s="1">
        <v>15.4136146583668</v>
      </c>
      <c r="AF4" s="1">
        <v>19.6593289040648</v>
      </c>
      <c r="AG4" s="1">
        <v>2.6766745054268</v>
      </c>
      <c r="AH4" s="1">
        <v>27.9507618918559</v>
      </c>
      <c r="AI4" s="1">
        <v>25.4689588161691</v>
      </c>
      <c r="AJ4" s="1">
        <v>8.83066122411659</v>
      </c>
    </row>
    <row r="5" s="1" customFormat="1" spans="2:36">
      <c r="B5" s="1">
        <v>8.10173927126113</v>
      </c>
      <c r="C5" s="1">
        <v>0.849480250605089</v>
      </c>
      <c r="D5" s="1">
        <v>28.6090051984227</v>
      </c>
      <c r="E5" s="1">
        <v>13.5021610864064</v>
      </c>
      <c r="F5" s="1">
        <v>28.2031311867572</v>
      </c>
      <c r="G5" s="1">
        <v>20.7344830065475</v>
      </c>
      <c r="I5" s="1">
        <v>1.00456192693646</v>
      </c>
      <c r="J5" s="1">
        <v>2.04668849412162</v>
      </c>
      <c r="K5" s="1">
        <v>16.9519605248586</v>
      </c>
      <c r="L5" s="1">
        <v>10.4050993999594</v>
      </c>
      <c r="M5" s="1"/>
      <c r="N5" s="1">
        <v>7.20997222280582</v>
      </c>
      <c r="O5" s="1">
        <v>2.57267347519945</v>
      </c>
      <c r="P5" s="1">
        <v>7.22329833126552</v>
      </c>
      <c r="Q5" s="1">
        <v>0.382462783085338</v>
      </c>
      <c r="R5" s="1">
        <v>19.2699425736367</v>
      </c>
      <c r="S5" s="1">
        <v>32.9333402681312</v>
      </c>
      <c r="T5" s="1"/>
      <c r="U5" s="1"/>
      <c r="V5" s="1">
        <v>4</v>
      </c>
      <c r="W5" s="1">
        <v>42.9606465354342</v>
      </c>
      <c r="X5" s="1">
        <v>8.10173927126113</v>
      </c>
      <c r="Y5" s="1">
        <v>28.2031311867572</v>
      </c>
      <c r="Z5" s="1">
        <v>20.7344830065475</v>
      </c>
      <c r="AA5" s="1"/>
      <c r="AB5" s="1"/>
      <c r="AC5" s="1"/>
      <c r="AD5" s="1">
        <v>4</v>
      </c>
      <c r="AE5" s="1">
        <v>29.4037484189396</v>
      </c>
      <c r="AF5" s="1">
        <v>10.1784345895503</v>
      </c>
      <c r="AG5" s="1">
        <v>1.00456192693646</v>
      </c>
      <c r="AH5" s="1">
        <v>7.20997222280582</v>
      </c>
      <c r="AI5" s="1">
        <v>19.2699425736367</v>
      </c>
      <c r="AJ5" s="1">
        <v>32.9333402681312</v>
      </c>
    </row>
    <row r="6" s="1" customFormat="1" spans="2:36">
      <c r="B6" s="1">
        <v>13.4850444800497</v>
      </c>
      <c r="C6" s="1">
        <v>18.0304762026042</v>
      </c>
      <c r="D6" s="1">
        <v>17.2305979872074</v>
      </c>
      <c r="E6" s="1">
        <v>38.542662243058</v>
      </c>
      <c r="F6" s="1">
        <v>6.13781639984801</v>
      </c>
      <c r="G6" s="1">
        <v>6.57340268723273</v>
      </c>
      <c r="I6" s="1">
        <v>13.7350073598318</v>
      </c>
      <c r="J6" s="1">
        <v>28.1033853800161</v>
      </c>
      <c r="K6" s="1">
        <v>6.11650485558486</v>
      </c>
      <c r="L6" s="1">
        <v>2.67491906179997</v>
      </c>
      <c r="M6" s="1"/>
      <c r="N6" s="1">
        <v>3.80121203376466</v>
      </c>
      <c r="O6" s="1">
        <v>1.53056648295241</v>
      </c>
      <c r="P6" s="1">
        <v>9.97978485555202</v>
      </c>
      <c r="Q6" s="1">
        <v>22.0859850690019</v>
      </c>
      <c r="R6" s="1">
        <v>2.23578771125461</v>
      </c>
      <c r="S6" s="1">
        <v>9.73684719024169</v>
      </c>
      <c r="T6" s="1"/>
      <c r="U6" s="1"/>
      <c r="V6" s="1">
        <v>5</v>
      </c>
      <c r="W6" s="1">
        <v>73.8037364328696</v>
      </c>
      <c r="X6" s="1">
        <v>13.4850444800497</v>
      </c>
      <c r="Y6" s="1">
        <v>6.13781639984801</v>
      </c>
      <c r="Z6" s="1">
        <v>6.57340268723273</v>
      </c>
      <c r="AA6" s="1"/>
      <c r="AB6" s="1"/>
      <c r="AC6" s="1"/>
      <c r="AD6" s="1">
        <v>5</v>
      </c>
      <c r="AE6" s="1">
        <v>36.8948092974009</v>
      </c>
      <c r="AF6" s="1">
        <v>33.5963364075063</v>
      </c>
      <c r="AG6" s="1">
        <v>13.7350073598318</v>
      </c>
      <c r="AH6" s="1">
        <v>3.80121203376466</v>
      </c>
      <c r="AI6" s="1">
        <v>2.23578771125461</v>
      </c>
      <c r="AJ6" s="1">
        <v>9.73684719024169</v>
      </c>
    </row>
    <row r="7" s="1" customFormat="1" spans="2:36">
      <c r="B7" s="1">
        <v>9.91424901362667</v>
      </c>
      <c r="C7" s="1">
        <v>9.73515597880602</v>
      </c>
      <c r="D7" s="1">
        <v>31.868992952969</v>
      </c>
      <c r="E7" s="1">
        <v>25.6848795099459</v>
      </c>
      <c r="F7" s="1">
        <v>1.39774573605225</v>
      </c>
      <c r="G7" s="1">
        <v>21.3989768086001</v>
      </c>
      <c r="I7" s="1">
        <v>1.6552115914187</v>
      </c>
      <c r="J7" s="1">
        <v>31.0274187294609</v>
      </c>
      <c r="K7" s="1">
        <v>2.67200813504848</v>
      </c>
      <c r="L7" s="1">
        <v>6.43428698674649</v>
      </c>
      <c r="M7" s="1"/>
      <c r="N7" s="1">
        <v>1.00564647242029</v>
      </c>
      <c r="O7" s="1">
        <v>0.593516872964266</v>
      </c>
      <c r="P7" s="1">
        <v>19.5189098874769</v>
      </c>
      <c r="Q7" s="1">
        <v>35.914910059862</v>
      </c>
      <c r="R7" s="1">
        <v>0.773542632641027</v>
      </c>
      <c r="S7" s="1">
        <v>0.40454863196084</v>
      </c>
      <c r="T7" s="1"/>
      <c r="U7" s="1"/>
      <c r="V7" s="1">
        <v>6</v>
      </c>
      <c r="W7" s="1">
        <v>67.2890284417209</v>
      </c>
      <c r="X7" s="1">
        <v>9.91424901362667</v>
      </c>
      <c r="Y7" s="1">
        <v>1.39774573605225</v>
      </c>
      <c r="Z7" s="1">
        <v>21.3989768086001</v>
      </c>
      <c r="AA7" s="1"/>
      <c r="AB7" s="1"/>
      <c r="AC7" s="1"/>
      <c r="AD7" s="1">
        <v>6</v>
      </c>
      <c r="AE7" s="1">
        <v>40.1337138512559</v>
      </c>
      <c r="AF7" s="1">
        <v>56.0273368203032</v>
      </c>
      <c r="AG7" s="1">
        <v>1.6552115914187</v>
      </c>
      <c r="AH7" s="1">
        <v>1.00564647242029</v>
      </c>
      <c r="AI7" s="1">
        <v>0.773542632641027</v>
      </c>
      <c r="AJ7" s="1">
        <v>0.40454863196084</v>
      </c>
    </row>
    <row r="8" s="1" customFormat="1" spans="2:36">
      <c r="B8" s="1">
        <v>15.3103336554898</v>
      </c>
      <c r="C8" s="1">
        <v>25.804877687468</v>
      </c>
      <c r="D8" s="1">
        <v>16.4488960799668</v>
      </c>
      <c r="E8" s="1">
        <v>5.56388121190664</v>
      </c>
      <c r="F8" s="1">
        <v>26.6377677000572</v>
      </c>
      <c r="G8" s="1">
        <v>10.2342436651116</v>
      </c>
      <c r="I8" s="1">
        <v>7.08001779715629</v>
      </c>
      <c r="J8" s="1">
        <v>8.02080156906763</v>
      </c>
      <c r="K8" s="1">
        <v>1.811809728856</v>
      </c>
      <c r="L8" s="1">
        <v>2.7428836803383</v>
      </c>
      <c r="M8" s="1"/>
      <c r="N8" s="1">
        <v>9.12489483566898</v>
      </c>
      <c r="O8" s="1">
        <v>4.41001661144055</v>
      </c>
      <c r="P8" s="1">
        <v>10.0238321973365</v>
      </c>
      <c r="Q8" s="1">
        <v>6.63033378363215</v>
      </c>
      <c r="R8" s="1">
        <v>24.333846582227</v>
      </c>
      <c r="S8" s="1">
        <v>25.8215632142765</v>
      </c>
      <c r="T8" s="1"/>
      <c r="U8" s="1"/>
      <c r="V8" s="1">
        <v>7</v>
      </c>
      <c r="W8" s="1">
        <v>47.8176549793414</v>
      </c>
      <c r="X8" s="1">
        <v>15.3103336554898</v>
      </c>
      <c r="Y8" s="1">
        <v>26.6377677000572</v>
      </c>
      <c r="Z8" s="1">
        <v>10.2342436651116</v>
      </c>
      <c r="AA8" s="1"/>
      <c r="AB8" s="1"/>
      <c r="AC8" s="1"/>
      <c r="AD8" s="1">
        <v>7</v>
      </c>
      <c r="AE8" s="1">
        <v>12.5754949782619</v>
      </c>
      <c r="AF8" s="1">
        <v>21.0641825924092</v>
      </c>
      <c r="AG8" s="1">
        <v>7.08001779715629</v>
      </c>
      <c r="AH8" s="1">
        <v>9.12489483566898</v>
      </c>
      <c r="AI8" s="1">
        <v>24.333846582227</v>
      </c>
      <c r="AJ8" s="1">
        <v>25.8215632142765</v>
      </c>
    </row>
    <row r="9" s="1" customFormat="1" spans="2:36">
      <c r="B9" s="1">
        <v>12.449697591238</v>
      </c>
      <c r="C9" s="1">
        <v>20.4265489821586</v>
      </c>
      <c r="D9" s="1">
        <v>12.1598041099982</v>
      </c>
      <c r="E9" s="1">
        <v>6.05181375540629</v>
      </c>
      <c r="F9" s="1">
        <v>11.9133709237516</v>
      </c>
      <c r="G9" s="1">
        <v>36.9987646374475</v>
      </c>
      <c r="I9" s="1">
        <v>8.07134690550305</v>
      </c>
      <c r="J9" s="1">
        <v>7.46199540167154</v>
      </c>
      <c r="K9" s="1">
        <v>1.72196019044704</v>
      </c>
      <c r="L9" s="1">
        <v>2.64598901251243</v>
      </c>
      <c r="M9" s="1"/>
      <c r="N9" s="1">
        <v>10.4025432993261</v>
      </c>
      <c r="O9" s="1">
        <v>5.20045287441905</v>
      </c>
      <c r="P9" s="1">
        <v>12.7878734397626</v>
      </c>
      <c r="Q9" s="1">
        <v>5.18028493677375</v>
      </c>
      <c r="R9" s="1">
        <v>15.2575611553028</v>
      </c>
      <c r="S9" s="1">
        <v>31.2699927842816</v>
      </c>
      <c r="T9" s="1"/>
      <c r="U9" s="1"/>
      <c r="V9" s="1">
        <v>8</v>
      </c>
      <c r="W9" s="1">
        <v>38.6381668475631</v>
      </c>
      <c r="X9" s="1">
        <v>12.449697591238</v>
      </c>
      <c r="Y9" s="1">
        <v>11.9133709237516</v>
      </c>
      <c r="Z9" s="1">
        <v>36.9987646374475</v>
      </c>
      <c r="AA9" s="1"/>
      <c r="AB9" s="1"/>
      <c r="AC9" s="1"/>
      <c r="AD9" s="1">
        <v>8</v>
      </c>
      <c r="AE9" s="1">
        <v>11.829944604631</v>
      </c>
      <c r="AF9" s="1">
        <v>23.1686112509554</v>
      </c>
      <c r="AG9" s="1">
        <v>8.07134690550305</v>
      </c>
      <c r="AH9" s="1">
        <v>10.4025432993261</v>
      </c>
      <c r="AI9" s="1">
        <v>15.2575611553028</v>
      </c>
      <c r="AJ9" s="1">
        <v>31.2699927842816</v>
      </c>
    </row>
    <row r="10" s="1" customFormat="1" spans="2:36">
      <c r="B10" s="1">
        <v>3.68415449042963</v>
      </c>
      <c r="C10" s="1">
        <v>0.11018987258154</v>
      </c>
      <c r="D10" s="1">
        <v>28.4389021331969</v>
      </c>
      <c r="E10" s="1">
        <v>2.35546475551004</v>
      </c>
      <c r="F10" s="1">
        <v>61.693023420997</v>
      </c>
      <c r="G10" s="1">
        <v>3.71826532728487</v>
      </c>
      <c r="I10" s="1">
        <v>5.22897168753924</v>
      </c>
      <c r="J10" s="1">
        <v>1.05847520424869</v>
      </c>
      <c r="K10" s="1">
        <v>22.9546853371579</v>
      </c>
      <c r="L10" s="1">
        <v>5.23026974715967</v>
      </c>
      <c r="M10" s="1"/>
      <c r="N10" s="1">
        <v>5.28415671140669</v>
      </c>
      <c r="O10" s="1">
        <v>0.991878297935891</v>
      </c>
      <c r="P10" s="1">
        <v>4.04773103113249</v>
      </c>
      <c r="Q10" s="1">
        <v>5.70236516698359</v>
      </c>
      <c r="R10" s="1">
        <v>20.0764232452559</v>
      </c>
      <c r="S10" s="1">
        <v>29.4250435711799</v>
      </c>
      <c r="T10" s="1"/>
      <c r="U10" s="1"/>
      <c r="V10" s="1">
        <v>9</v>
      </c>
      <c r="W10" s="1">
        <v>30.9045567612885</v>
      </c>
      <c r="X10" s="1">
        <v>3.68415449042963</v>
      </c>
      <c r="Y10" s="1">
        <v>61.693023420997</v>
      </c>
      <c r="Z10" s="1">
        <v>3.71826532728487</v>
      </c>
      <c r="AA10" s="1"/>
      <c r="AB10" s="1"/>
      <c r="AC10" s="1"/>
      <c r="AD10" s="1">
        <v>9</v>
      </c>
      <c r="AE10" s="1">
        <v>29.2434302885663</v>
      </c>
      <c r="AF10" s="1">
        <v>10.741974496052</v>
      </c>
      <c r="AG10" s="1">
        <v>5.22897168753924</v>
      </c>
      <c r="AH10" s="1">
        <v>5.28415671140669</v>
      </c>
      <c r="AI10" s="1">
        <v>20.0764232452559</v>
      </c>
      <c r="AJ10" s="1">
        <v>29.4250435711799</v>
      </c>
    </row>
    <row r="11" s="1" customFormat="1" spans="2:36">
      <c r="B11" s="1">
        <v>23.8010966418204</v>
      </c>
      <c r="C11" s="1">
        <v>45.3812538129548</v>
      </c>
      <c r="D11" s="1">
        <v>0.182089184747622</v>
      </c>
      <c r="E11" s="1">
        <v>2.37126324753022</v>
      </c>
      <c r="F11" s="1">
        <v>9.28584222670184</v>
      </c>
      <c r="G11" s="1">
        <v>18.9784548862451</v>
      </c>
      <c r="I11" s="1">
        <v>6.30560867208769</v>
      </c>
      <c r="J11" s="1">
        <v>15.2851374667031</v>
      </c>
      <c r="K11" s="1">
        <v>7.29235886467109</v>
      </c>
      <c r="L11" s="1">
        <v>4.15064061514656</v>
      </c>
      <c r="M11" s="1"/>
      <c r="N11" s="1">
        <v>32.4516719103683</v>
      </c>
      <c r="O11" s="1">
        <v>13.0377218994108</v>
      </c>
      <c r="P11" s="1">
        <v>1.74954005898127</v>
      </c>
      <c r="Q11" s="1">
        <v>2.78681212389338</v>
      </c>
      <c r="R11" s="1">
        <v>10.8479082297788</v>
      </c>
      <c r="S11" s="1">
        <v>6.09260015895903</v>
      </c>
      <c r="T11" s="1"/>
      <c r="U11" s="1"/>
      <c r="V11" s="1">
        <v>10</v>
      </c>
      <c r="W11" s="1">
        <v>47.9346062452327</v>
      </c>
      <c r="X11" s="1">
        <v>23.8010966418204</v>
      </c>
      <c r="Y11" s="1">
        <v>9.28584222670184</v>
      </c>
      <c r="Z11" s="1">
        <v>18.9784548862451</v>
      </c>
      <c r="AA11" s="1"/>
      <c r="AB11" s="1"/>
      <c r="AC11" s="1"/>
      <c r="AD11" s="1">
        <v>10</v>
      </c>
      <c r="AE11" s="1">
        <v>26.7281369465208</v>
      </c>
      <c r="AF11" s="1">
        <v>17.5740740822854</v>
      </c>
      <c r="AG11" s="1">
        <v>6.30560867208769</v>
      </c>
      <c r="AH11" s="1">
        <v>32.4516719103683</v>
      </c>
      <c r="AI11" s="1">
        <v>10.8479082297788</v>
      </c>
      <c r="AJ11" s="1">
        <v>6.09260015895903</v>
      </c>
    </row>
    <row r="12" s="1" customFormat="1" spans="2:36">
      <c r="B12" s="1">
        <v>14.8409267384778</v>
      </c>
      <c r="C12" s="1">
        <v>41.0719501926718</v>
      </c>
      <c r="D12" s="1">
        <v>0.0260063796455982</v>
      </c>
      <c r="E12" s="1">
        <v>17.0391218902131</v>
      </c>
      <c r="F12" s="1">
        <v>23.2120564474124</v>
      </c>
      <c r="G12" s="1">
        <v>3.80993835157932</v>
      </c>
      <c r="I12" s="1">
        <v>4.33960557968389</v>
      </c>
      <c r="J12" s="1">
        <v>29.0705376228054</v>
      </c>
      <c r="K12" s="1">
        <v>4.5091086109691</v>
      </c>
      <c r="L12" s="1">
        <v>14.5775467191385</v>
      </c>
      <c r="M12" s="1"/>
      <c r="N12" s="1">
        <v>5.05429743759417</v>
      </c>
      <c r="O12" s="1">
        <v>3.25155080801305</v>
      </c>
      <c r="P12" s="1">
        <v>4.04747176202449</v>
      </c>
      <c r="Q12" s="1">
        <v>3.61762970024098</v>
      </c>
      <c r="R12" s="1">
        <v>12.9995786026997</v>
      </c>
      <c r="S12" s="1">
        <v>18.5326731568307</v>
      </c>
      <c r="T12" s="1"/>
      <c r="U12" s="1"/>
      <c r="V12" s="1">
        <v>11</v>
      </c>
      <c r="W12" s="1">
        <v>58.1370784625305</v>
      </c>
      <c r="X12" s="1">
        <v>14.8409267384778</v>
      </c>
      <c r="Y12" s="1">
        <v>23.2120564474124</v>
      </c>
      <c r="Z12" s="1">
        <v>3.80993835157932</v>
      </c>
      <c r="AA12" s="1"/>
      <c r="AB12" s="1"/>
      <c r="AC12" s="1"/>
      <c r="AD12" s="1">
        <v>11</v>
      </c>
      <c r="AE12" s="1">
        <v>48.157192952913</v>
      </c>
      <c r="AF12" s="1">
        <v>10.9166522702785</v>
      </c>
      <c r="AG12" s="1">
        <v>4.33960557968389</v>
      </c>
      <c r="AH12" s="1">
        <v>5.05429743759417</v>
      </c>
      <c r="AI12" s="1">
        <v>12.9995786026997</v>
      </c>
      <c r="AJ12" s="1">
        <v>18.5326731568307</v>
      </c>
    </row>
    <row r="13" s="1" customFormat="1" spans="2:36">
      <c r="B13" s="1">
        <v>6.27524436537131</v>
      </c>
      <c r="C13" s="1">
        <v>41.3548510320064</v>
      </c>
      <c r="D13" s="1">
        <v>0.541957982939435</v>
      </c>
      <c r="E13" s="1">
        <v>18.819698610932</v>
      </c>
      <c r="F13" s="1">
        <v>27.1424170453038</v>
      </c>
      <c r="G13" s="1">
        <v>5.86583096344704</v>
      </c>
      <c r="I13" s="1">
        <v>3.87788967307529</v>
      </c>
      <c r="J13" s="1">
        <v>13.1261727837395</v>
      </c>
      <c r="K13" s="1">
        <v>1.31942498327931</v>
      </c>
      <c r="L13" s="1">
        <v>13.2628786258373</v>
      </c>
      <c r="M13" s="1"/>
      <c r="N13" s="1">
        <v>3.53791184606937</v>
      </c>
      <c r="O13" s="1">
        <v>16.2478996083209</v>
      </c>
      <c r="P13" s="1">
        <v>0.932174534263024</v>
      </c>
      <c r="Q13" s="1">
        <v>5.26460457551292</v>
      </c>
      <c r="R13" s="1">
        <v>21.6064411041783</v>
      </c>
      <c r="S13" s="1">
        <v>20.8246022657242</v>
      </c>
      <c r="T13" s="1"/>
      <c r="U13" s="1"/>
      <c r="V13" s="1">
        <v>12</v>
      </c>
      <c r="W13" s="1">
        <v>60.7165076258778</v>
      </c>
      <c r="X13" s="1">
        <v>6.27524436537131</v>
      </c>
      <c r="Y13" s="1">
        <v>27.1424170453038</v>
      </c>
      <c r="Z13" s="1">
        <v>5.86583096344704</v>
      </c>
      <c r="AA13" s="1"/>
      <c r="AB13" s="1"/>
      <c r="AC13" s="1"/>
      <c r="AD13" s="1">
        <v>12</v>
      </c>
      <c r="AE13" s="1">
        <v>27.7084763928561</v>
      </c>
      <c r="AF13" s="1">
        <v>22.4446787180968</v>
      </c>
      <c r="AG13" s="1">
        <v>3.87788967307529</v>
      </c>
      <c r="AH13" s="1">
        <v>3.53791184606937</v>
      </c>
      <c r="AI13" s="1">
        <v>21.6064411041783</v>
      </c>
      <c r="AJ13" s="1">
        <v>20.8246022657242</v>
      </c>
    </row>
    <row r="14" s="1" customFormat="1" spans="1:20">
      <c r="A14" s="1" t="s">
        <v>95</v>
      </c>
      <c r="B14" s="1">
        <f t="shared" ref="B14:G14" si="0">AVERAGE(B2:B13)</f>
        <v>13.8898401871169</v>
      </c>
      <c r="C14" s="7">
        <f t="shared" si="0"/>
        <v>17.1536091921009</v>
      </c>
      <c r="D14" s="7">
        <f t="shared" si="0"/>
        <v>17.6973131486905</v>
      </c>
      <c r="E14" s="1">
        <f t="shared" si="0"/>
        <v>11.8127733546404</v>
      </c>
      <c r="F14" s="7">
        <f t="shared" si="0"/>
        <v>23.7096764971998</v>
      </c>
      <c r="G14" s="1">
        <f t="shared" si="0"/>
        <v>15.7367876202516</v>
      </c>
      <c r="H14" s="1">
        <f>SUM(B14:G14)</f>
        <v>100</v>
      </c>
      <c r="I14" s="1">
        <f t="shared" ref="I14:L14" si="1">AVERAGE(I2:I13)</f>
        <v>5.17900185160218</v>
      </c>
      <c r="J14" s="9">
        <f t="shared" si="1"/>
        <v>11.3969896600927</v>
      </c>
      <c r="K14" s="1">
        <f t="shared" si="1"/>
        <v>10.0865414798183</v>
      </c>
      <c r="L14" s="1">
        <f t="shared" si="1"/>
        <v>6.0370830196061</v>
      </c>
      <c r="M14" s="1">
        <f>SUM(J14:L14)</f>
        <v>27.5206141595171</v>
      </c>
      <c r="N14" s="7">
        <f t="shared" ref="N14:S14" si="2">AVERAGE(N2:N13)</f>
        <v>10.7969531643438</v>
      </c>
      <c r="O14" s="1">
        <f t="shared" si="2"/>
        <v>4.32930571347753</v>
      </c>
      <c r="P14" s="1">
        <f t="shared" si="2"/>
        <v>9.47344558202557</v>
      </c>
      <c r="Q14" s="1">
        <f t="shared" si="2"/>
        <v>8.5931197221102</v>
      </c>
      <c r="R14" s="9">
        <f t="shared" si="2"/>
        <v>15.9955554392584</v>
      </c>
      <c r="S14" s="1">
        <f t="shared" si="2"/>
        <v>18.1120043676653</v>
      </c>
      <c r="T14" s="1">
        <f>SUM(O14:Q14)</f>
        <v>22.3958710176133</v>
      </c>
    </row>
    <row r="15" s="1" customFormat="1" spans="11:18">
      <c r="K15" s="1">
        <f>SUM(I14:L14)</f>
        <v>32.6996160111192</v>
      </c>
      <c r="L15" s="1">
        <f>SUM(J14:L14)</f>
        <v>27.5206141595171</v>
      </c>
      <c r="Q15" s="1">
        <f>SUM(N14:Q14)</f>
        <v>33.1928241819571</v>
      </c>
      <c r="R15" s="1">
        <f>SUM(O14:Q14)</f>
        <v>22.3958710176133</v>
      </c>
    </row>
    <row r="16" s="1" customFormat="1" spans="11:15">
      <c r="K16" s="14" t="s">
        <v>96</v>
      </c>
      <c r="L16" s="14"/>
      <c r="M16" s="14"/>
      <c r="N16" s="14"/>
      <c r="O16" s="14"/>
    </row>
    <row r="17" s="1" customFormat="1" spans="2:42">
      <c r="B17" s="3" t="s">
        <v>76</v>
      </c>
      <c r="C17" s="3" t="s">
        <v>78</v>
      </c>
      <c r="D17" s="4" t="s">
        <v>11</v>
      </c>
      <c r="E17" s="3" t="s">
        <v>12</v>
      </c>
      <c r="F17" s="5" t="s">
        <v>13</v>
      </c>
      <c r="G17" s="5" t="s">
        <v>69</v>
      </c>
      <c r="H17" s="14" t="s">
        <v>86</v>
      </c>
      <c r="I17" s="3" t="s">
        <v>76</v>
      </c>
      <c r="J17" s="3" t="s">
        <v>78</v>
      </c>
      <c r="K17" s="4" t="s">
        <v>11</v>
      </c>
      <c r="L17" s="3" t="s">
        <v>12</v>
      </c>
      <c r="M17" s="24" t="s">
        <v>87</v>
      </c>
      <c r="N17" s="3" t="s">
        <v>76</v>
      </c>
      <c r="O17" s="3" t="s">
        <v>78</v>
      </c>
      <c r="P17" s="4" t="s">
        <v>11</v>
      </c>
      <c r="Q17" s="3" t="s">
        <v>12</v>
      </c>
      <c r="R17" s="5" t="s">
        <v>13</v>
      </c>
      <c r="S17" s="5" t="s">
        <v>69</v>
      </c>
      <c r="T17" s="1"/>
      <c r="U17" s="1"/>
      <c r="V17" s="26" t="s">
        <v>76</v>
      </c>
      <c r="W17" s="26" t="s">
        <v>78</v>
      </c>
      <c r="X17" s="27" t="s">
        <v>11</v>
      </c>
      <c r="Y17" s="3" t="s">
        <v>12</v>
      </c>
      <c r="Z17" s="28" t="s">
        <v>13</v>
      </c>
      <c r="AA17" s="5" t="s">
        <v>69</v>
      </c>
      <c r="AB17" s="1"/>
      <c r="AC17" s="1"/>
      <c r="AD17" s="1"/>
      <c r="AE17" s="3" t="s">
        <v>89</v>
      </c>
      <c r="AF17" s="3" t="s">
        <v>90</v>
      </c>
      <c r="AG17" s="3" t="s">
        <v>91</v>
      </c>
      <c r="AH17" s="3" t="s">
        <v>92</v>
      </c>
      <c r="AI17" s="5" t="s">
        <v>13</v>
      </c>
      <c r="AJ17" s="5" t="s">
        <v>93</v>
      </c>
      <c r="AM17" s="25" t="s">
        <v>88</v>
      </c>
      <c r="AN17" s="26" t="s">
        <v>76</v>
      </c>
      <c r="AO17" s="28" t="s">
        <v>13</v>
      </c>
      <c r="AP17" s="5" t="s">
        <v>69</v>
      </c>
    </row>
    <row r="18" s="1" customFormat="1" spans="2:42">
      <c r="B18" s="1">
        <v>13.7759137849313</v>
      </c>
      <c r="C18" s="1">
        <v>11.7962297676926</v>
      </c>
      <c r="D18" s="1">
        <v>1.79536628050527</v>
      </c>
      <c r="E18" s="1">
        <v>32.3679945961266</v>
      </c>
      <c r="F18" s="1">
        <v>2.74589123782986</v>
      </c>
      <c r="G18" s="1">
        <v>12.9236764346432</v>
      </c>
      <c r="H18" s="14" t="s">
        <v>72</v>
      </c>
      <c r="I18" s="1">
        <v>5.67286709200369</v>
      </c>
      <c r="J18" s="1">
        <v>25.559312190269</v>
      </c>
      <c r="K18" s="1">
        <v>0.214449282759765</v>
      </c>
      <c r="L18" s="1">
        <v>36.4526501437064</v>
      </c>
      <c r="M18" s="1"/>
      <c r="N18" s="1">
        <v>4.30178685622998</v>
      </c>
      <c r="O18" s="1">
        <v>1.67618833122452</v>
      </c>
      <c r="P18" s="1">
        <v>8.46917370813258</v>
      </c>
      <c r="Q18" s="1">
        <v>1.54631481351713</v>
      </c>
      <c r="R18" s="1">
        <v>0.147159443397908</v>
      </c>
      <c r="S18" s="1">
        <v>16.8046238504738</v>
      </c>
      <c r="T18" s="1"/>
      <c r="U18" s="1"/>
      <c r="V18" s="1">
        <v>13.7759137849313</v>
      </c>
      <c r="W18" s="23">
        <v>21.7962297676926</v>
      </c>
      <c r="X18" s="23">
        <v>11.7953662805052</v>
      </c>
      <c r="Y18" s="1">
        <v>32.3679945961266</v>
      </c>
      <c r="Z18" s="1">
        <v>7.3408191361011</v>
      </c>
      <c r="AA18" s="1">
        <v>12.9236764346432</v>
      </c>
      <c r="AB18" s="1"/>
      <c r="AC18" s="1"/>
      <c r="AD18" s="1">
        <v>1</v>
      </c>
      <c r="AE18" s="1">
        <v>62.2264116167352</v>
      </c>
      <c r="AF18" s="1">
        <v>11.6916768528742</v>
      </c>
      <c r="AG18" s="1">
        <v>5.67286709200369</v>
      </c>
      <c r="AH18" s="1">
        <v>4.30178685622998</v>
      </c>
      <c r="AI18" s="1">
        <v>0.147159443397908</v>
      </c>
      <c r="AJ18" s="1">
        <v>15.960098138759</v>
      </c>
      <c r="AL18" s="1">
        <v>1</v>
      </c>
      <c r="AM18" s="1">
        <v>65.9595906443244</v>
      </c>
      <c r="AN18" s="1">
        <v>13.7759137849313</v>
      </c>
      <c r="AO18" s="1">
        <v>7.3408191361011</v>
      </c>
      <c r="AP18" s="1">
        <v>12.9236764346432</v>
      </c>
    </row>
    <row r="19" s="1" customFormat="1" spans="2:42">
      <c r="B19" s="1">
        <v>10.1783845703069</v>
      </c>
      <c r="C19" s="1">
        <v>12.7071404027157</v>
      </c>
      <c r="D19" s="1">
        <v>12.6835406719189</v>
      </c>
      <c r="E19" s="1">
        <v>31.468996338061</v>
      </c>
      <c r="F19" s="1">
        <v>9.26255794828659</v>
      </c>
      <c r="G19" s="1">
        <v>22.9625335310285</v>
      </c>
      <c r="I19" s="1">
        <v>2.27629850469416</v>
      </c>
      <c r="J19" s="1">
        <v>5.64282447590708</v>
      </c>
      <c r="K19" s="1">
        <v>4.10203836257121</v>
      </c>
      <c r="L19" s="1">
        <v>50.3883811771885</v>
      </c>
      <c r="M19" s="1"/>
      <c r="N19" s="1">
        <v>3.19696155230889</v>
      </c>
      <c r="O19" s="1">
        <v>11.0190670066644</v>
      </c>
      <c r="P19" s="1">
        <v>12.0513909306702</v>
      </c>
      <c r="Q19" s="1">
        <v>6.96638429331495</v>
      </c>
      <c r="R19" s="1">
        <v>1.52525086164865</v>
      </c>
      <c r="S19" s="1">
        <v>4.37472711898029</v>
      </c>
      <c r="T19" s="1"/>
      <c r="U19" s="1"/>
      <c r="V19" s="1">
        <v>10.1783845703069</v>
      </c>
      <c r="W19" s="1">
        <v>13.4439869403981</v>
      </c>
      <c r="X19" s="1">
        <v>12.6835406719189</v>
      </c>
      <c r="Y19" s="1">
        <v>31.468996338061</v>
      </c>
      <c r="Z19" s="1">
        <v>9.26255794828659</v>
      </c>
      <c r="AA19" s="1">
        <v>22.9625335310285</v>
      </c>
      <c r="AB19" s="1"/>
      <c r="AC19" s="1"/>
      <c r="AD19" s="1">
        <v>2</v>
      </c>
      <c r="AE19" s="1">
        <v>60.1332440156668</v>
      </c>
      <c r="AF19" s="1">
        <v>30.0368422306496</v>
      </c>
      <c r="AG19" s="1">
        <v>2.27629850469416</v>
      </c>
      <c r="AH19" s="1">
        <v>3.19696155230889</v>
      </c>
      <c r="AI19" s="1">
        <v>1.52525086164865</v>
      </c>
      <c r="AJ19" s="1">
        <v>2.83140283503197</v>
      </c>
      <c r="AL19" s="1">
        <v>2</v>
      </c>
      <c r="AM19" s="1">
        <v>57.596523950378</v>
      </c>
      <c r="AN19" s="1">
        <v>10.1783845703069</v>
      </c>
      <c r="AO19" s="1">
        <v>9.26255794828659</v>
      </c>
      <c r="AP19" s="1">
        <v>22.9625335310285</v>
      </c>
    </row>
    <row r="20" s="1" customFormat="1" spans="2:42">
      <c r="B20" s="1">
        <v>11.9789203587329</v>
      </c>
      <c r="C20" s="1">
        <v>7.6098455840378</v>
      </c>
      <c r="D20" s="1">
        <v>11.2752896876186</v>
      </c>
      <c r="E20" s="1">
        <v>16.150091346248</v>
      </c>
      <c r="F20" s="1">
        <v>31.6566394518193</v>
      </c>
      <c r="G20" s="1">
        <v>10.9949254206852</v>
      </c>
      <c r="I20" s="1">
        <v>0.0414241146221674</v>
      </c>
      <c r="J20" s="1">
        <v>10.7061247318742</v>
      </c>
      <c r="K20" s="1">
        <v>7.5713261932981</v>
      </c>
      <c r="L20" s="1">
        <v>28.3391252125547</v>
      </c>
      <c r="M20" s="1"/>
      <c r="N20" s="23">
        <v>29.7750958576774</v>
      </c>
      <c r="O20" s="1">
        <v>2.92683823272695</v>
      </c>
      <c r="P20" s="1">
        <v>2.31772467739694</v>
      </c>
      <c r="Q20" s="1">
        <v>3.29327696893522</v>
      </c>
      <c r="R20" s="1">
        <v>6.88842911550904</v>
      </c>
      <c r="S20" s="1">
        <v>36.9779102295308</v>
      </c>
      <c r="T20" s="1"/>
      <c r="U20" s="1"/>
      <c r="V20" s="1">
        <v>11.9789203587329</v>
      </c>
      <c r="W20" s="1">
        <v>17.944133734896</v>
      </c>
      <c r="X20" s="1">
        <v>11.2752896876186</v>
      </c>
      <c r="Y20" s="1">
        <v>16.150091346248</v>
      </c>
      <c r="Z20" s="1">
        <v>31.6566394518193</v>
      </c>
      <c r="AA20" s="1">
        <v>10.9949254206852</v>
      </c>
      <c r="AB20" s="1"/>
      <c r="AC20" s="1"/>
      <c r="AD20" s="1">
        <v>3</v>
      </c>
      <c r="AE20" s="1">
        <v>46.616576137727</v>
      </c>
      <c r="AF20" s="1">
        <v>8.53783987905911</v>
      </c>
      <c r="AG20" s="1">
        <v>0.0414241146221674</v>
      </c>
      <c r="AH20" s="23">
        <v>29.7750958576774</v>
      </c>
      <c r="AI20" s="1">
        <v>6.88842911550904</v>
      </c>
      <c r="AJ20" s="1">
        <v>8.14063489540529</v>
      </c>
      <c r="AL20" s="1">
        <v>3</v>
      </c>
      <c r="AM20" s="1">
        <v>45.3695147687626</v>
      </c>
      <c r="AN20" s="1">
        <v>11.9789203587329</v>
      </c>
      <c r="AO20" s="1">
        <v>31.6566394518193</v>
      </c>
      <c r="AP20" s="1">
        <v>10.9949254206852</v>
      </c>
    </row>
    <row r="21" s="1" customFormat="1" spans="2:42">
      <c r="B21" s="1">
        <v>3.88766582806818</v>
      </c>
      <c r="C21" s="1">
        <v>30.7188951597896</v>
      </c>
      <c r="D21" s="1">
        <v>0.727041267444687</v>
      </c>
      <c r="E21" s="1">
        <v>37.7177396689582</v>
      </c>
      <c r="F21" s="1">
        <v>1.59092105793249</v>
      </c>
      <c r="G21" s="1">
        <v>15.9094368566914</v>
      </c>
      <c r="I21" s="1">
        <v>5.96017930116394</v>
      </c>
      <c r="J21" s="1">
        <v>8.56950873920031</v>
      </c>
      <c r="K21" s="1">
        <v>6.42459549153754</v>
      </c>
      <c r="L21" s="1">
        <v>27.8644652226706</v>
      </c>
      <c r="M21" s="1"/>
      <c r="N21" s="1">
        <v>2.9025970897588</v>
      </c>
      <c r="O21" s="1">
        <v>2.5012429396682</v>
      </c>
      <c r="P21" s="1">
        <v>4.18308154514338</v>
      </c>
      <c r="Q21" s="1">
        <v>4.00699447512831</v>
      </c>
      <c r="R21" s="1">
        <v>3.86505735464718</v>
      </c>
      <c r="S21" s="1">
        <v>34.3594813134967</v>
      </c>
      <c r="T21" s="1"/>
      <c r="U21" s="1"/>
      <c r="V21" s="1">
        <v>3.88766582806818</v>
      </c>
      <c r="W21" s="1">
        <v>30.7188951597896</v>
      </c>
      <c r="X21" s="1">
        <v>10.1753414285601</v>
      </c>
      <c r="Y21" s="1">
        <v>37.7177396689582</v>
      </c>
      <c r="Z21" s="1">
        <v>1.59092105793249</v>
      </c>
      <c r="AA21" s="1">
        <v>15.9094368566914</v>
      </c>
      <c r="AB21" s="1"/>
      <c r="AC21" s="1"/>
      <c r="AD21" s="1">
        <v>4</v>
      </c>
      <c r="AE21" s="1">
        <v>42.8585694534084</v>
      </c>
      <c r="AF21" s="1">
        <v>10.6913189599399</v>
      </c>
      <c r="AG21" s="1">
        <v>5.96017930116394</v>
      </c>
      <c r="AH21" s="1">
        <v>2.9025970897588</v>
      </c>
      <c r="AI21" s="1">
        <v>3.86505735464718</v>
      </c>
      <c r="AJ21" s="1">
        <v>33.7222778410817</v>
      </c>
      <c r="AL21" s="1">
        <v>4</v>
      </c>
      <c r="AM21" s="1">
        <v>78.6119762573079</v>
      </c>
      <c r="AN21" s="1">
        <v>3.88766582806818</v>
      </c>
      <c r="AO21" s="1">
        <v>1.59092105793249</v>
      </c>
      <c r="AP21" s="1">
        <v>15.9094368566914</v>
      </c>
    </row>
    <row r="22" s="1" customFormat="1" spans="2:42">
      <c r="B22" s="1">
        <v>37.9027755260374</v>
      </c>
      <c r="C22" s="1">
        <v>21.0036931451017</v>
      </c>
      <c r="D22" s="1">
        <v>4.35016401961173</v>
      </c>
      <c r="E22" s="1">
        <v>6.73566330891041</v>
      </c>
      <c r="F22" s="1">
        <v>4.89798738562852</v>
      </c>
      <c r="G22" s="1">
        <v>4.89044145247283</v>
      </c>
      <c r="I22" s="1">
        <v>8.8763173142803</v>
      </c>
      <c r="J22" s="1">
        <v>1.84884904238353</v>
      </c>
      <c r="K22" s="1">
        <v>1.09743549274601</v>
      </c>
      <c r="L22" s="1">
        <v>32.8449151540811</v>
      </c>
      <c r="M22" s="1"/>
      <c r="N22" s="23">
        <v>11.959136588536</v>
      </c>
      <c r="O22" s="1">
        <v>14.3238191257644</v>
      </c>
      <c r="P22" s="1">
        <v>17.8222815476123</v>
      </c>
      <c r="Q22" s="1">
        <v>2.06727550250576</v>
      </c>
      <c r="R22" s="1">
        <v>11.3568601409663</v>
      </c>
      <c r="S22" s="1">
        <v>8.31270600311559</v>
      </c>
      <c r="T22" s="1"/>
      <c r="U22" s="1"/>
      <c r="V22" s="1">
        <v>37.9027755260374</v>
      </c>
      <c r="W22" s="1">
        <v>21.0036931451017</v>
      </c>
      <c r="X22" s="1">
        <v>4.35016401961173</v>
      </c>
      <c r="Y22" s="23">
        <v>26.7356633089104</v>
      </c>
      <c r="Z22" s="1">
        <v>5.11726254786593</v>
      </c>
      <c r="AA22" s="1">
        <v>4.89044145247283</v>
      </c>
      <c r="AB22" s="1"/>
      <c r="AC22" s="1"/>
      <c r="AD22" s="1">
        <v>5</v>
      </c>
      <c r="AE22" s="1">
        <v>35.7911996892106</v>
      </c>
      <c r="AF22" s="1">
        <v>23.7037802638912</v>
      </c>
      <c r="AG22" s="1">
        <v>8.8763173142803</v>
      </c>
      <c r="AH22" s="23">
        <v>11.959136588536</v>
      </c>
      <c r="AI22" s="1">
        <v>11.3568601409663</v>
      </c>
      <c r="AJ22" s="1">
        <v>8.31270600311559</v>
      </c>
      <c r="AL22" s="1">
        <v>5</v>
      </c>
      <c r="AM22" s="1">
        <v>52.0895204736238</v>
      </c>
      <c r="AN22" s="1">
        <v>37.9027755260374</v>
      </c>
      <c r="AO22" s="1">
        <v>5.11726254786593</v>
      </c>
      <c r="AP22" s="1">
        <v>4.89044145247283</v>
      </c>
    </row>
    <row r="23" s="1" customFormat="1" spans="2:42">
      <c r="B23" s="1">
        <v>5.00222895463648</v>
      </c>
      <c r="C23" s="1">
        <v>20.2328878871616</v>
      </c>
      <c r="D23" s="1">
        <v>0.880469769656617</v>
      </c>
      <c r="E23" s="1">
        <v>30.9906808939025</v>
      </c>
      <c r="F23" s="1">
        <v>4.74151628516859</v>
      </c>
      <c r="G23" s="1">
        <v>33.0979140130575</v>
      </c>
      <c r="I23" s="1">
        <v>8.81677561261037</v>
      </c>
      <c r="J23" s="1">
        <v>4.64526317403585</v>
      </c>
      <c r="K23" s="1">
        <v>2.32380488798747</v>
      </c>
      <c r="L23" s="1">
        <v>35.2587437547585</v>
      </c>
      <c r="M23" s="1"/>
      <c r="N23" s="23">
        <v>14.8191036683545</v>
      </c>
      <c r="O23" s="1">
        <v>13.5253427004693</v>
      </c>
      <c r="P23" s="1">
        <v>3.03517724856247</v>
      </c>
      <c r="Q23" s="1">
        <v>9.5887631314204</v>
      </c>
      <c r="R23" s="1">
        <v>15.2734361535831</v>
      </c>
      <c r="S23" s="1">
        <v>7.35344357328106</v>
      </c>
      <c r="T23" s="1"/>
      <c r="U23" s="1"/>
      <c r="V23" s="1">
        <v>5.00222895463648</v>
      </c>
      <c r="W23" s="1">
        <v>20.2328878871616</v>
      </c>
      <c r="X23" s="1">
        <v>0.880469769656617</v>
      </c>
      <c r="Y23" s="1">
        <v>33.5092222620387</v>
      </c>
      <c r="Z23" s="1">
        <v>7.27727711344912</v>
      </c>
      <c r="AA23" s="1">
        <v>33.0979140130575</v>
      </c>
      <c r="AB23" s="1"/>
      <c r="AC23" s="1"/>
      <c r="AD23" s="1">
        <v>6</v>
      </c>
      <c r="AE23" s="1">
        <v>27.5879579117188</v>
      </c>
      <c r="AF23" s="1">
        <v>26.1492830804522</v>
      </c>
      <c r="AG23" s="1">
        <v>8.81677561261037</v>
      </c>
      <c r="AH23" s="23">
        <v>14.8191036683545</v>
      </c>
      <c r="AI23" s="1">
        <v>15.2734361535831</v>
      </c>
      <c r="AJ23" s="1">
        <v>7.35344357328106</v>
      </c>
      <c r="AL23" s="1">
        <v>6</v>
      </c>
      <c r="AM23" s="1">
        <v>54.6225799188569</v>
      </c>
      <c r="AN23" s="1">
        <v>5.00222895463648</v>
      </c>
      <c r="AO23" s="1">
        <v>7.27727711344912</v>
      </c>
      <c r="AP23" s="1">
        <v>33.0979140130575</v>
      </c>
    </row>
    <row r="24" s="1" customFormat="1" spans="2:42">
      <c r="B24" s="1">
        <v>11.5919625413222</v>
      </c>
      <c r="C24" s="1">
        <v>6.67101514344046</v>
      </c>
      <c r="D24" s="1">
        <v>19.888372293536</v>
      </c>
      <c r="E24" s="1">
        <v>33.7915577290769</v>
      </c>
      <c r="F24" s="1">
        <v>14.6816114266455</v>
      </c>
      <c r="G24" s="1">
        <v>13.1146444003614</v>
      </c>
      <c r="I24" s="1">
        <v>6.56567101642395</v>
      </c>
      <c r="J24" s="1">
        <v>2.80584126632893</v>
      </c>
      <c r="K24" s="1">
        <v>0.58276658984657</v>
      </c>
      <c r="L24" s="1">
        <v>15.9294766322268</v>
      </c>
      <c r="M24" s="1"/>
      <c r="N24" s="23">
        <v>12.9387297834737</v>
      </c>
      <c r="O24" s="1">
        <v>20.1388694653976</v>
      </c>
      <c r="P24" s="1">
        <v>9.69726050650114</v>
      </c>
      <c r="Q24" s="1">
        <v>8.26520878142117</v>
      </c>
      <c r="R24" s="1">
        <v>4.37726128133448</v>
      </c>
      <c r="S24" s="1">
        <v>29.6659022620415</v>
      </c>
      <c r="T24" s="1"/>
      <c r="U24" s="1"/>
      <c r="V24" s="1">
        <v>11.5919625413222</v>
      </c>
      <c r="W24" s="1">
        <v>6.931851609058</v>
      </c>
      <c r="X24" s="1">
        <v>19.888372293536</v>
      </c>
      <c r="Y24" s="1">
        <v>33.7915577290769</v>
      </c>
      <c r="Z24" s="1">
        <v>14.6816114266455</v>
      </c>
      <c r="AA24" s="1">
        <v>13.1146444003614</v>
      </c>
      <c r="AB24" s="1"/>
      <c r="AC24" s="1"/>
      <c r="AD24" s="1">
        <v>7</v>
      </c>
      <c r="AE24" s="1">
        <v>19.3180844884023</v>
      </c>
      <c r="AF24" s="1">
        <v>38.1013387533199</v>
      </c>
      <c r="AG24" s="1">
        <v>6.56567101642395</v>
      </c>
      <c r="AH24" s="23">
        <v>12.9387297834737</v>
      </c>
      <c r="AI24" s="1">
        <v>4.37726128133448</v>
      </c>
      <c r="AJ24" s="1">
        <v>18.6989146770457</v>
      </c>
      <c r="AL24" s="1">
        <v>7</v>
      </c>
      <c r="AM24" s="1">
        <v>60.6117816316709</v>
      </c>
      <c r="AN24" s="1">
        <v>11.5919625413222</v>
      </c>
      <c r="AO24" s="1">
        <v>14.6816114266455</v>
      </c>
      <c r="AP24" s="1">
        <v>13.1146444003614</v>
      </c>
    </row>
    <row r="25" s="1" customFormat="1" spans="2:42">
      <c r="B25" s="1">
        <v>3.87454073887998</v>
      </c>
      <c r="C25" s="1">
        <v>15.5292243556744</v>
      </c>
      <c r="D25" s="1">
        <v>2.10832330330418</v>
      </c>
      <c r="E25" s="1">
        <v>52.7370127500189</v>
      </c>
      <c r="F25" s="1">
        <v>3.12098818341806</v>
      </c>
      <c r="G25" s="1">
        <v>1.4908317284829</v>
      </c>
      <c r="I25" s="1">
        <v>4.59642811368187</v>
      </c>
      <c r="J25" s="1">
        <v>20.1810659000978</v>
      </c>
      <c r="K25" s="1">
        <v>4.58170629998759</v>
      </c>
      <c r="L25" s="1">
        <v>36.6994500677879</v>
      </c>
      <c r="M25" s="1"/>
      <c r="N25" s="23">
        <v>2.64631408333098</v>
      </c>
      <c r="O25" s="1">
        <v>1.35229279073428</v>
      </c>
      <c r="P25" s="1">
        <v>2.30189838415703</v>
      </c>
      <c r="Q25" s="1">
        <v>0.0948934814083826</v>
      </c>
      <c r="R25" s="1">
        <v>3.40272885304319</v>
      </c>
      <c r="S25" s="1">
        <v>24.446202942343</v>
      </c>
      <c r="T25" s="1"/>
      <c r="U25" s="1"/>
      <c r="V25" s="1">
        <v>3.87454073887998</v>
      </c>
      <c r="W25" s="1">
        <v>26.0511011668</v>
      </c>
      <c r="X25" s="1">
        <v>2.10832330330418</v>
      </c>
      <c r="Y25" s="1">
        <v>52.7370127500189</v>
      </c>
      <c r="Z25" s="1">
        <v>13.738190312514</v>
      </c>
      <c r="AA25" s="1">
        <v>1.4908317284829</v>
      </c>
      <c r="AB25" s="1"/>
      <c r="AC25" s="1"/>
      <c r="AD25" s="1">
        <v>8</v>
      </c>
      <c r="AE25" s="1">
        <v>61.4622222678733</v>
      </c>
      <c r="AF25" s="1">
        <v>3.74908465629969</v>
      </c>
      <c r="AG25" s="1">
        <v>4.59642811368187</v>
      </c>
      <c r="AH25" s="23">
        <v>2.64631408333098</v>
      </c>
      <c r="AI25" s="1">
        <v>3.40272885304319</v>
      </c>
      <c r="AJ25" s="1">
        <v>24.143222025771</v>
      </c>
      <c r="AL25" s="1">
        <v>8</v>
      </c>
      <c r="AM25" s="1">
        <v>80.8964372201231</v>
      </c>
      <c r="AN25" s="1">
        <v>3.87454073887998</v>
      </c>
      <c r="AO25" s="1">
        <v>13.738190312514</v>
      </c>
      <c r="AP25" s="1">
        <v>1.4908317284829</v>
      </c>
    </row>
    <row r="26" s="1" customFormat="1" spans="2:42">
      <c r="B26" s="1">
        <v>21.8417378771781</v>
      </c>
      <c r="C26" s="1">
        <v>29.9107027197195</v>
      </c>
      <c r="D26" s="1">
        <v>6.3382656936011</v>
      </c>
      <c r="E26" s="1">
        <v>21.2437230695195</v>
      </c>
      <c r="F26" s="1">
        <v>0.794987520499206</v>
      </c>
      <c r="G26" s="1">
        <v>0.844218333844544</v>
      </c>
      <c r="I26" s="1">
        <v>4.19581443182275</v>
      </c>
      <c r="J26" s="1">
        <v>21.4568165590935</v>
      </c>
      <c r="K26" s="1">
        <v>11.8669175133396</v>
      </c>
      <c r="L26" s="1">
        <v>25.2727228624194</v>
      </c>
      <c r="M26" s="1"/>
      <c r="N26" s="1">
        <v>1.60368706749321</v>
      </c>
      <c r="O26" s="1">
        <v>4.4311602685149</v>
      </c>
      <c r="P26" s="1">
        <v>9.80350177142016</v>
      </c>
      <c r="Q26" s="1">
        <v>7.66593162988567</v>
      </c>
      <c r="R26" s="1">
        <v>1.33264029405863</v>
      </c>
      <c r="S26" s="1">
        <v>13.919439034107</v>
      </c>
      <c r="T26" s="1"/>
      <c r="U26" s="1"/>
      <c r="V26" s="1">
        <v>21.8417378771781</v>
      </c>
      <c r="W26" s="1">
        <v>29.9107027197195</v>
      </c>
      <c r="X26" s="1">
        <v>6.3382656936011</v>
      </c>
      <c r="Y26" s="23">
        <v>36.2437230695195</v>
      </c>
      <c r="Z26" s="1">
        <v>4.82135230613727</v>
      </c>
      <c r="AA26" s="1">
        <v>0.844218333844544</v>
      </c>
      <c r="AB26" s="1"/>
      <c r="AC26" s="1"/>
      <c r="AD26" s="1">
        <v>9</v>
      </c>
      <c r="AE26" s="1">
        <v>58.5964569348525</v>
      </c>
      <c r="AF26" s="1">
        <v>21.9005936698207</v>
      </c>
      <c r="AG26" s="1">
        <v>4.19581443182275</v>
      </c>
      <c r="AH26" s="1">
        <v>1.60368706749321</v>
      </c>
      <c r="AI26" s="1">
        <v>1.33264029405863</v>
      </c>
      <c r="AJ26" s="1">
        <v>12.3708076019522</v>
      </c>
      <c r="AL26" s="1">
        <v>9</v>
      </c>
      <c r="AM26" s="1">
        <v>72.4926914828401</v>
      </c>
      <c r="AN26" s="1">
        <v>21.8417378771781</v>
      </c>
      <c r="AO26" s="1">
        <v>4.82135230613727</v>
      </c>
      <c r="AP26" s="1">
        <v>0.844218333844544</v>
      </c>
    </row>
    <row r="27" s="1" customFormat="1" spans="2:42">
      <c r="B27" s="1">
        <v>6.53521849502354</v>
      </c>
      <c r="C27" s="1">
        <v>4.16449191864982</v>
      </c>
      <c r="D27" s="1">
        <v>33.4457031212093</v>
      </c>
      <c r="E27" s="1">
        <v>6.5727367473119</v>
      </c>
      <c r="F27" s="1">
        <v>8.0371751258403</v>
      </c>
      <c r="G27" s="1">
        <v>9.08841742758228</v>
      </c>
      <c r="I27" s="1">
        <v>0.00293717327196585</v>
      </c>
      <c r="J27" s="1">
        <v>8.40526593932223</v>
      </c>
      <c r="K27" s="1">
        <v>3.44497997098376</v>
      </c>
      <c r="L27" s="1">
        <v>2.74569918281894</v>
      </c>
      <c r="M27" s="1"/>
      <c r="N27" s="1">
        <v>7.81858421269593</v>
      </c>
      <c r="O27" s="1">
        <v>24.910256301675</v>
      </c>
      <c r="P27" s="1">
        <v>14.447384062358</v>
      </c>
      <c r="Q27" s="1">
        <v>7.07595147373276</v>
      </c>
      <c r="R27" s="1">
        <v>11.2174950763814</v>
      </c>
      <c r="S27" s="1">
        <v>27.154406165176</v>
      </c>
      <c r="T27" s="1"/>
      <c r="U27" s="1"/>
      <c r="V27" s="1">
        <v>6.53521849502354</v>
      </c>
      <c r="W27" s="23">
        <v>24.1644919186498</v>
      </c>
      <c r="X27" s="1">
        <v>33.4457031212093</v>
      </c>
      <c r="Y27" s="1">
        <v>18.7289939116948</v>
      </c>
      <c r="Z27" s="1">
        <v>8.0371751258403</v>
      </c>
      <c r="AA27" s="1">
        <v>9.08841742758228</v>
      </c>
      <c r="AB27" s="1"/>
      <c r="AC27" s="1"/>
      <c r="AD27" s="1">
        <v>10</v>
      </c>
      <c r="AE27" s="1">
        <v>14.5959450931249</v>
      </c>
      <c r="AF27" s="1">
        <v>46.4335918377658</v>
      </c>
      <c r="AG27" s="1">
        <v>0.00293717327196585</v>
      </c>
      <c r="AH27" s="1">
        <v>7.81858421269593</v>
      </c>
      <c r="AI27" s="1">
        <v>11.2174950763814</v>
      </c>
      <c r="AJ27" s="1">
        <v>19.93144660676</v>
      </c>
      <c r="AL27" s="1">
        <v>10</v>
      </c>
      <c r="AM27" s="1">
        <v>76.3391889515539</v>
      </c>
      <c r="AN27" s="1">
        <v>6.53521849502354</v>
      </c>
      <c r="AO27" s="1">
        <v>8.0371751258403</v>
      </c>
      <c r="AP27" s="1">
        <v>9.08841742758228</v>
      </c>
    </row>
    <row r="28" s="1" customFormat="1" spans="2:42">
      <c r="B28" s="1">
        <v>0.431689832660949</v>
      </c>
      <c r="C28" s="1">
        <v>14.376135540704</v>
      </c>
      <c r="D28" s="1">
        <v>6.93881931525856</v>
      </c>
      <c r="E28" s="1">
        <v>28.6532770185836</v>
      </c>
      <c r="F28" s="1">
        <v>5.57672601462442</v>
      </c>
      <c r="G28" s="1">
        <v>7.66204049917224</v>
      </c>
      <c r="I28" s="1">
        <v>13.1886930118224</v>
      </c>
      <c r="J28" s="1">
        <v>6.85807144803029</v>
      </c>
      <c r="K28" s="1">
        <v>0.881277287825158</v>
      </c>
      <c r="L28" s="1">
        <v>15.4431452274914</v>
      </c>
      <c r="M28" s="1"/>
      <c r="N28" s="1">
        <v>5.50458067273408</v>
      </c>
      <c r="O28" s="1">
        <v>4.03331579869467</v>
      </c>
      <c r="P28" s="1">
        <v>2.81169730441076</v>
      </c>
      <c r="Q28" s="1">
        <v>12.6700824562173</v>
      </c>
      <c r="R28" s="1">
        <v>2.93102051027025</v>
      </c>
      <c r="S28" s="1">
        <v>35.0168924768179</v>
      </c>
      <c r="T28" s="1"/>
      <c r="U28" s="1"/>
      <c r="V28" s="1">
        <v>29.2763479266831</v>
      </c>
      <c r="W28" s="1">
        <v>14.376135540704</v>
      </c>
      <c r="X28" s="1">
        <v>6.93881931525856</v>
      </c>
      <c r="Y28" s="1">
        <v>28.6532770185836</v>
      </c>
      <c r="Z28" s="1">
        <v>13.0933796995985</v>
      </c>
      <c r="AA28" s="1">
        <v>7.66204049917224</v>
      </c>
      <c r="AB28" s="1"/>
      <c r="AC28" s="1"/>
      <c r="AD28" s="1">
        <v>11</v>
      </c>
      <c r="AE28" s="1">
        <v>35.7572188718745</v>
      </c>
      <c r="AF28" s="1">
        <v>19.5150955593227</v>
      </c>
      <c r="AG28" s="1">
        <v>13.1886930118224</v>
      </c>
      <c r="AH28" s="1">
        <v>5.50458067273408</v>
      </c>
      <c r="AI28" s="1">
        <v>2.93102051027025</v>
      </c>
      <c r="AJ28" s="1">
        <v>23.1033913739761</v>
      </c>
      <c r="AL28" s="1">
        <v>11</v>
      </c>
      <c r="AM28" s="1">
        <v>49.9682318745462</v>
      </c>
      <c r="AN28" s="1">
        <v>29.2763479266831</v>
      </c>
      <c r="AO28" s="1">
        <v>13.0933796995985</v>
      </c>
      <c r="AP28" s="1">
        <v>7.66204049917224</v>
      </c>
    </row>
    <row r="29" s="1" customFormat="1" spans="2:42">
      <c r="B29" s="1">
        <v>0.857826244942537</v>
      </c>
      <c r="C29" s="1">
        <v>13.489555058917</v>
      </c>
      <c r="D29" s="1">
        <v>12.4136670436657</v>
      </c>
      <c r="E29" s="1">
        <v>25.4303701547581</v>
      </c>
      <c r="F29" s="1">
        <v>0.505876864790389</v>
      </c>
      <c r="G29" s="1">
        <v>11.3192443299344</v>
      </c>
      <c r="I29" s="1">
        <v>8.71549965876702</v>
      </c>
      <c r="J29" s="1">
        <v>3.60114499191537</v>
      </c>
      <c r="K29" s="1">
        <v>15.990225634603</v>
      </c>
      <c r="L29" s="1">
        <v>4.17959755535511</v>
      </c>
      <c r="M29" s="1"/>
      <c r="N29" s="1">
        <v>5.03988559234956</v>
      </c>
      <c r="O29" s="1">
        <v>5.32624125871608</v>
      </c>
      <c r="P29" s="1">
        <v>0.692824386373729</v>
      </c>
      <c r="Q29" s="1">
        <v>23.1450358149239</v>
      </c>
      <c r="R29" s="1">
        <v>8.48916795957093</v>
      </c>
      <c r="S29" s="1">
        <v>24.7690712059973</v>
      </c>
      <c r="T29" s="1"/>
      <c r="U29" s="1"/>
      <c r="V29" s="1">
        <v>1.28951607760348</v>
      </c>
      <c r="W29" s="1">
        <v>34.041325529248</v>
      </c>
      <c r="X29" s="1">
        <v>12.4136670436657</v>
      </c>
      <c r="Y29" s="1">
        <v>25.4303701547581</v>
      </c>
      <c r="Z29" s="23">
        <v>15.5058768647903</v>
      </c>
      <c r="AA29" s="1">
        <v>11.3192443299344</v>
      </c>
      <c r="AB29" s="1"/>
      <c r="AC29" s="1"/>
      <c r="AD29" s="1">
        <v>12</v>
      </c>
      <c r="AE29" s="1">
        <v>23.7709681818735</v>
      </c>
      <c r="AF29" s="1">
        <v>29.1641014600137</v>
      </c>
      <c r="AG29" s="1">
        <v>8.71549965876702</v>
      </c>
      <c r="AH29" s="1">
        <v>5.03988559234956</v>
      </c>
      <c r="AI29" s="1">
        <v>8.48916795957093</v>
      </c>
      <c r="AJ29" s="1">
        <v>24.8203771474253</v>
      </c>
      <c r="AL29" s="1">
        <v>12</v>
      </c>
      <c r="AM29" s="1">
        <v>71.8853627276718</v>
      </c>
      <c r="AN29" s="1">
        <v>1.28951607760348</v>
      </c>
      <c r="AO29" s="23">
        <v>15.5058768647903</v>
      </c>
      <c r="AP29" s="1">
        <v>11.3192443299344</v>
      </c>
    </row>
    <row r="30" s="1" customFormat="1" spans="2:42">
      <c r="B30" s="1">
        <v>0.558228584061195</v>
      </c>
      <c r="C30" s="1">
        <v>16.3206403759551</v>
      </c>
      <c r="D30" s="1">
        <v>0.0212454063120843</v>
      </c>
      <c r="E30" s="1">
        <v>9.75481660887929</v>
      </c>
      <c r="F30" s="1">
        <v>0.157828517977591</v>
      </c>
      <c r="G30" s="1">
        <v>57.0411591035455</v>
      </c>
      <c r="I30" s="1">
        <v>3.46477401178632</v>
      </c>
      <c r="J30" s="1">
        <v>12.3870496788705</v>
      </c>
      <c r="K30" s="1">
        <v>1.70286566526559</v>
      </c>
      <c r="L30" s="1">
        <v>21.7865954579809</v>
      </c>
      <c r="M30" s="1"/>
      <c r="N30" s="1">
        <v>2.60994596639984</v>
      </c>
      <c r="O30" s="1">
        <v>4.53333302539872</v>
      </c>
      <c r="P30" s="1">
        <v>2.12410400604456</v>
      </c>
      <c r="Q30" s="1">
        <v>2.49163402716727</v>
      </c>
      <c r="R30" s="1">
        <v>0.296082770386254</v>
      </c>
      <c r="S30" s="1">
        <v>47.9041689468601</v>
      </c>
      <c r="T30" s="1"/>
      <c r="U30" s="1"/>
      <c r="V30" s="1">
        <v>0.558228584061195</v>
      </c>
      <c r="W30" s="1">
        <v>15.9150219403398</v>
      </c>
      <c r="X30" s="1">
        <v>16.5729452451966</v>
      </c>
      <c r="Y30" s="1">
        <v>9.75481660887929</v>
      </c>
      <c r="Z30" s="1">
        <v>0.157828517977591</v>
      </c>
      <c r="AA30" s="1">
        <v>57.0411591035455</v>
      </c>
      <c r="AB30" s="1"/>
      <c r="AC30" s="1"/>
      <c r="AD30" s="1">
        <v>13</v>
      </c>
      <c r="AE30" s="1">
        <v>35.876510802117</v>
      </c>
      <c r="AF30" s="1">
        <v>21.7237959671382</v>
      </c>
      <c r="AG30" s="1">
        <v>3.46477401178632</v>
      </c>
      <c r="AH30" s="1">
        <v>2.60994596639984</v>
      </c>
      <c r="AI30" s="1">
        <v>0.296082770386254</v>
      </c>
      <c r="AJ30" s="1">
        <v>36.0288904821724</v>
      </c>
      <c r="AL30" s="1">
        <v>13</v>
      </c>
      <c r="AM30" s="1">
        <v>42.2427837944157</v>
      </c>
      <c r="AN30" s="1">
        <v>0.558228584061195</v>
      </c>
      <c r="AO30" s="1">
        <v>0.157828517977591</v>
      </c>
      <c r="AP30" s="1">
        <v>57.0411591035455</v>
      </c>
    </row>
    <row r="31" s="1" customFormat="1" spans="2:42">
      <c r="B31" s="1">
        <v>0.573277633473372</v>
      </c>
      <c r="C31" s="1">
        <v>52.7835647196999</v>
      </c>
      <c r="D31" s="1">
        <v>2.69137601832928</v>
      </c>
      <c r="E31" s="1">
        <v>0.644627517456931</v>
      </c>
      <c r="F31" s="1">
        <v>14.8105010084205</v>
      </c>
      <c r="G31" s="1">
        <v>26.9213630902431</v>
      </c>
      <c r="I31" s="1">
        <v>1.08484262076061</v>
      </c>
      <c r="J31" s="1">
        <v>43.5718977963907</v>
      </c>
      <c r="K31" s="1">
        <v>2.11554764839861</v>
      </c>
      <c r="L31" s="1">
        <v>7.90611227303073</v>
      </c>
      <c r="M31" s="1"/>
      <c r="N31" s="1">
        <v>0.235454069577297</v>
      </c>
      <c r="O31" s="1">
        <v>6.18253916882974</v>
      </c>
      <c r="P31" s="1">
        <v>3.30884786862639</v>
      </c>
      <c r="Q31" s="1">
        <v>2.90996142171786</v>
      </c>
      <c r="R31" s="1">
        <v>0.0164354163625608</v>
      </c>
      <c r="S31" s="1">
        <v>31.59834977939</v>
      </c>
      <c r="T31" s="1"/>
      <c r="U31" s="1"/>
      <c r="V31" s="1">
        <v>0.573277633473372</v>
      </c>
      <c r="W31" s="1">
        <v>52.7835647196999</v>
      </c>
      <c r="X31" s="1">
        <v>2.69137601832928</v>
      </c>
      <c r="Y31" s="1">
        <v>2.21991752983384</v>
      </c>
      <c r="Z31" s="1">
        <v>14.8105010084205</v>
      </c>
      <c r="AA31" s="1">
        <v>26.9213630902431</v>
      </c>
      <c r="AB31" s="1"/>
      <c r="AC31" s="1"/>
      <c r="AD31" s="1">
        <v>14</v>
      </c>
      <c r="AE31" s="1">
        <v>53.59355771782</v>
      </c>
      <c r="AF31" s="1">
        <v>12.401348459174</v>
      </c>
      <c r="AG31" s="1">
        <v>1.08484262076061</v>
      </c>
      <c r="AH31" s="1">
        <v>0.235454069577297</v>
      </c>
      <c r="AI31" s="1">
        <v>0.0164354163625608</v>
      </c>
      <c r="AJ31" s="1">
        <v>32.6683617163055</v>
      </c>
      <c r="AL31" s="1">
        <v>14</v>
      </c>
      <c r="AM31" s="1">
        <v>57.694858267863</v>
      </c>
      <c r="AN31" s="1">
        <v>0.573277633473372</v>
      </c>
      <c r="AO31" s="1">
        <v>14.8105010084205</v>
      </c>
      <c r="AP31" s="1">
        <v>26.9213630902431</v>
      </c>
    </row>
    <row r="32" s="1" customFormat="1" spans="2:42">
      <c r="B32" s="1">
        <v>0.288712747852943</v>
      </c>
      <c r="C32" s="1">
        <v>27.2314798748993</v>
      </c>
      <c r="D32" s="1">
        <v>2.31472167516533</v>
      </c>
      <c r="E32" s="1">
        <v>12.3097741430605</v>
      </c>
      <c r="F32" s="1">
        <v>0.665223275968351</v>
      </c>
      <c r="G32" s="1">
        <v>47.7002727715508</v>
      </c>
      <c r="I32" s="1">
        <v>3.57530928605857</v>
      </c>
      <c r="J32" s="1">
        <v>9.51613591751873</v>
      </c>
      <c r="K32" s="1">
        <v>0.618146223291407</v>
      </c>
      <c r="L32" s="1">
        <v>22.1597516603314</v>
      </c>
      <c r="M32" s="1"/>
      <c r="N32" s="1">
        <v>5.30453178947409</v>
      </c>
      <c r="O32" s="1">
        <v>11.6940751408433</v>
      </c>
      <c r="P32" s="1">
        <v>4.30844299380195</v>
      </c>
      <c r="Q32" s="1">
        <v>4.92725765917212</v>
      </c>
      <c r="R32" s="1">
        <v>0.656758379857873</v>
      </c>
      <c r="S32" s="1">
        <v>36.315903405672</v>
      </c>
      <c r="T32" s="1"/>
      <c r="U32" s="1"/>
      <c r="V32" s="1">
        <v>0.288712747852943</v>
      </c>
      <c r="W32" s="1">
        <v>27.2314798748993</v>
      </c>
      <c r="X32" s="1">
        <v>2.31472167516533</v>
      </c>
      <c r="Y32" s="1">
        <v>12.3097741430605</v>
      </c>
      <c r="Z32" s="1">
        <v>10.1550387874711</v>
      </c>
      <c r="AA32" s="1">
        <v>47.7002727715508</v>
      </c>
      <c r="AB32" s="1"/>
      <c r="AC32" s="1"/>
      <c r="AD32" s="1">
        <v>15</v>
      </c>
      <c r="AE32" s="1">
        <v>32.2940338011415</v>
      </c>
      <c r="AF32" s="1">
        <v>20.9297757938174</v>
      </c>
      <c r="AG32" s="1">
        <v>3.57530928605857</v>
      </c>
      <c r="AH32" s="1">
        <v>5.30453178947409</v>
      </c>
      <c r="AI32" s="1">
        <v>0.656758379857873</v>
      </c>
      <c r="AJ32" s="1">
        <v>37.2395909496506</v>
      </c>
      <c r="AL32" s="1">
        <v>15</v>
      </c>
      <c r="AM32" s="1">
        <v>41.8559756931251</v>
      </c>
      <c r="AN32" s="1">
        <v>0.288712747852943</v>
      </c>
      <c r="AO32" s="1">
        <v>10.1550387874711</v>
      </c>
      <c r="AP32" s="1">
        <v>47.7002727715508</v>
      </c>
    </row>
    <row r="33" s="1" customFormat="1" spans="2:42">
      <c r="B33" s="1">
        <v>1.01245019482438</v>
      </c>
      <c r="C33" s="1">
        <v>22.8900425836979</v>
      </c>
      <c r="D33" s="1">
        <v>7.35709799735708</v>
      </c>
      <c r="E33" s="1">
        <v>0.0615395673450005</v>
      </c>
      <c r="F33" s="1">
        <v>4.03973190394146</v>
      </c>
      <c r="G33" s="1">
        <v>58.5307435427754</v>
      </c>
      <c r="I33" s="1">
        <v>4.92516437125978</v>
      </c>
      <c r="J33" s="1">
        <v>20.6739012834825</v>
      </c>
      <c r="K33" s="1">
        <v>1.4808226436857</v>
      </c>
      <c r="L33" s="1">
        <v>1.65043435547826</v>
      </c>
      <c r="M33" s="1"/>
      <c r="N33" s="1">
        <v>4.05655805887147</v>
      </c>
      <c r="O33" s="1">
        <v>7.54743400948873</v>
      </c>
      <c r="P33" s="1">
        <v>1.44487109819574</v>
      </c>
      <c r="Q33" s="1">
        <v>2.07852787178177</v>
      </c>
      <c r="R33" s="1">
        <v>8.56462541048894</v>
      </c>
      <c r="S33" s="1">
        <v>46.9674272067033</v>
      </c>
      <c r="T33" s="1"/>
      <c r="U33" s="1"/>
      <c r="V33" s="1">
        <v>1.01245019482438</v>
      </c>
      <c r="W33" s="1">
        <v>22.8900425836979</v>
      </c>
      <c r="X33" s="1">
        <v>7.35709799735708</v>
      </c>
      <c r="Y33" s="1">
        <v>6.16993377740378</v>
      </c>
      <c r="Z33" s="1">
        <v>4.03973190394146</v>
      </c>
      <c r="AA33" s="1">
        <v>58.5307435427754</v>
      </c>
      <c r="AB33" s="1"/>
      <c r="AC33" s="1"/>
      <c r="AD33" s="1">
        <v>16</v>
      </c>
      <c r="AE33" s="1">
        <v>23.8051582826465</v>
      </c>
      <c r="AF33" s="1">
        <v>11.0708329794662</v>
      </c>
      <c r="AG33" s="1">
        <v>4.92516437125978</v>
      </c>
      <c r="AH33" s="1">
        <v>4.05655805887147</v>
      </c>
      <c r="AI33" s="1">
        <v>8.56462541048894</v>
      </c>
      <c r="AJ33" s="1">
        <v>47.5776608972671</v>
      </c>
      <c r="AL33" s="1">
        <v>16</v>
      </c>
      <c r="AM33" s="1">
        <v>36.4170743584588</v>
      </c>
      <c r="AN33" s="1">
        <v>1.01245019482438</v>
      </c>
      <c r="AO33" s="1">
        <v>4.03973190394146</v>
      </c>
      <c r="AP33" s="1">
        <v>58.5307435427754</v>
      </c>
    </row>
    <row r="34" s="1" customFormat="1" spans="2:42">
      <c r="B34" s="1">
        <v>1.57207630319033</v>
      </c>
      <c r="C34" s="1">
        <v>74.670051818224</v>
      </c>
      <c r="D34" s="1">
        <v>10.0880056377121</v>
      </c>
      <c r="E34" s="1">
        <v>0.0160913155300388</v>
      </c>
      <c r="F34" s="1">
        <v>3.9401476686256</v>
      </c>
      <c r="G34" s="1">
        <v>6.78102562717336</v>
      </c>
      <c r="I34" s="1">
        <v>2.63831998898434</v>
      </c>
      <c r="J34" s="1">
        <v>42.0180673245835</v>
      </c>
      <c r="K34" s="1">
        <v>0.14892860081246</v>
      </c>
      <c r="L34" s="1">
        <v>6.8067505068206</v>
      </c>
      <c r="M34" s="1"/>
      <c r="N34" s="1">
        <v>10.6468271528107</v>
      </c>
      <c r="O34" s="1">
        <v>19.8811646077184</v>
      </c>
      <c r="P34" s="1">
        <v>9.65003042448881</v>
      </c>
      <c r="Q34" s="1">
        <v>2.33094858859538</v>
      </c>
      <c r="R34" s="1">
        <v>0.723969853482607</v>
      </c>
      <c r="S34" s="1">
        <v>2.46207794852755</v>
      </c>
      <c r="T34" s="1"/>
      <c r="U34" s="1"/>
      <c r="V34" s="1">
        <v>1.57207630319033</v>
      </c>
      <c r="W34" s="1">
        <v>74.670051818224</v>
      </c>
      <c r="X34" s="1">
        <v>10.0880056377121</v>
      </c>
      <c r="Y34" s="1">
        <v>2.94869294507462</v>
      </c>
      <c r="Z34" s="1">
        <v>3.9401476686256</v>
      </c>
      <c r="AA34" s="1">
        <v>6.78102562717336</v>
      </c>
      <c r="AB34" s="1"/>
      <c r="AC34" s="1"/>
      <c r="AD34" s="1">
        <v>17</v>
      </c>
      <c r="AE34" s="1">
        <v>48.9737464322166</v>
      </c>
      <c r="AF34" s="1">
        <v>31.8621436208026</v>
      </c>
      <c r="AG34" s="1">
        <v>2.63831998898434</v>
      </c>
      <c r="AH34" s="1">
        <v>10.6468271528107</v>
      </c>
      <c r="AI34" s="1">
        <v>0.723969853482607</v>
      </c>
      <c r="AJ34" s="1">
        <v>5.15499295170322</v>
      </c>
      <c r="AL34" s="1">
        <v>17</v>
      </c>
      <c r="AM34" s="1">
        <v>87.7067504010107</v>
      </c>
      <c r="AN34" s="1">
        <v>1.57207630319033</v>
      </c>
      <c r="AO34" s="1">
        <v>3.9401476686256</v>
      </c>
      <c r="AP34" s="1">
        <v>6.78102562717336</v>
      </c>
    </row>
    <row r="35" s="1" customFormat="1" spans="2:42">
      <c r="B35" s="1">
        <v>1.34374141748725</v>
      </c>
      <c r="C35" s="1">
        <v>30.1020584243325</v>
      </c>
      <c r="D35" s="1">
        <v>2.8165485789247</v>
      </c>
      <c r="E35" s="1">
        <v>0.12692392745207</v>
      </c>
      <c r="F35" s="1">
        <v>0.0291732205058031</v>
      </c>
      <c r="G35" s="1">
        <v>53.8726388157972</v>
      </c>
      <c r="H35" s="1"/>
      <c r="I35" s="1">
        <v>1.00671646904065</v>
      </c>
      <c r="J35" s="1">
        <v>16.699898806677</v>
      </c>
      <c r="K35" s="1">
        <v>0.645306184119106</v>
      </c>
      <c r="L35" s="1">
        <v>8.77809893798018</v>
      </c>
      <c r="M35" s="1"/>
      <c r="N35" s="1">
        <v>8.8579234328787</v>
      </c>
      <c r="O35" s="1">
        <v>13.7764494683749</v>
      </c>
      <c r="P35" s="1">
        <v>4.99657840618471</v>
      </c>
      <c r="Q35" s="1">
        <v>0.499373213002189</v>
      </c>
      <c r="R35" s="1">
        <v>0.0278292081527108</v>
      </c>
      <c r="S35" s="1">
        <v>43.6184864543508</v>
      </c>
      <c r="T35" s="1"/>
      <c r="U35" s="1"/>
      <c r="V35" s="1">
        <v>1.34374141748725</v>
      </c>
      <c r="W35" s="1">
        <v>30.1020584243325</v>
      </c>
      <c r="X35" s="1">
        <v>2.8165485789247</v>
      </c>
      <c r="Y35" s="1">
        <v>11.8358395429525</v>
      </c>
      <c r="Z35" s="1">
        <v>0.0291732205058031</v>
      </c>
      <c r="AA35" s="1">
        <v>53.8726388157972</v>
      </c>
      <c r="AB35" s="1"/>
      <c r="AC35" s="1"/>
      <c r="AD35" s="1">
        <v>18</v>
      </c>
      <c r="AE35" s="1">
        <v>26.1233039287763</v>
      </c>
      <c r="AF35" s="1">
        <v>19.2724010875618</v>
      </c>
      <c r="AG35" s="1">
        <v>1.00671646904065</v>
      </c>
      <c r="AH35" s="1">
        <v>8.8579234328787</v>
      </c>
      <c r="AI35" s="1">
        <v>0.0278292081527108</v>
      </c>
      <c r="AJ35" s="1">
        <v>44.7118258735899</v>
      </c>
      <c r="AL35" s="1">
        <v>18</v>
      </c>
      <c r="AM35" s="1">
        <v>44.7544465462097</v>
      </c>
      <c r="AN35" s="1">
        <v>1.34374141748725</v>
      </c>
      <c r="AO35" s="1">
        <v>0.0291732205058031</v>
      </c>
      <c r="AP35" s="1">
        <v>53.8726388157972</v>
      </c>
    </row>
    <row r="36" s="1" customFormat="1" spans="1:21">
      <c r="A36" s="1" t="s">
        <v>95</v>
      </c>
      <c r="B36" s="1">
        <f t="shared" ref="B36:G36" si="3">AVERAGE(B18:B35)</f>
        <v>7.40040842408944</v>
      </c>
      <c r="C36" s="9">
        <f t="shared" si="3"/>
        <v>22.9004252489118</v>
      </c>
      <c r="D36" s="1">
        <f t="shared" si="3"/>
        <v>7.67411209895173</v>
      </c>
      <c r="E36" s="7">
        <f t="shared" si="3"/>
        <v>19.2652009278444</v>
      </c>
      <c r="F36" s="1">
        <f t="shared" si="3"/>
        <v>6.18086022766236</v>
      </c>
      <c r="G36" s="2">
        <f t="shared" si="3"/>
        <v>21.9525292988356</v>
      </c>
      <c r="H36" s="1">
        <f>SUM(B36:G36)</f>
        <v>85.3735362262954</v>
      </c>
      <c r="I36" s="2">
        <f t="shared" ref="I36:L36" si="4">AVERAGE(I18:I35)</f>
        <v>4.75577956072527</v>
      </c>
      <c r="J36" s="7">
        <f t="shared" si="4"/>
        <v>14.7303910703323</v>
      </c>
      <c r="K36" s="2">
        <f t="shared" si="4"/>
        <v>3.6551744429477</v>
      </c>
      <c r="L36" s="7">
        <f t="shared" si="4"/>
        <v>21.1392286324823</v>
      </c>
      <c r="M36" s="2">
        <v>39.5247941457623</v>
      </c>
      <c r="N36" s="7">
        <f t="shared" ref="N36:R36" si="5">AVERAGE(N18:N35)</f>
        <v>7.45653908305306</v>
      </c>
      <c r="O36" s="7">
        <f t="shared" si="5"/>
        <v>9.43220164671689</v>
      </c>
      <c r="P36" s="2">
        <f t="shared" si="5"/>
        <v>6.30368171500449</v>
      </c>
      <c r="Q36" s="2">
        <f t="shared" si="5"/>
        <v>5.64576753354708</v>
      </c>
      <c r="R36" s="2">
        <f t="shared" si="5"/>
        <v>4.50512267128567</v>
      </c>
      <c r="S36" s="2">
        <v>22.3761136439052</v>
      </c>
      <c r="T36" s="1">
        <v>21.3816508952685</v>
      </c>
      <c r="U36" s="2"/>
    </row>
    <row r="37" s="1" customFormat="1" spans="2:26">
      <c r="B37" s="1">
        <v>9.02687219779406</v>
      </c>
      <c r="C37" s="23">
        <v>26.9004252489118</v>
      </c>
      <c r="D37" s="23">
        <v>9.67411209895173</v>
      </c>
      <c r="E37" s="23">
        <v>23.2652009278444</v>
      </c>
      <c r="F37" s="23">
        <v>9.18086022766236</v>
      </c>
      <c r="G37" s="1">
        <v>21.9525292988356</v>
      </c>
      <c r="H37" s="1">
        <f>SUM(B37:G37)</f>
        <v>100</v>
      </c>
      <c r="K37" s="1">
        <f>SUM(I36:L36)</f>
        <v>44.2805737064876</v>
      </c>
      <c r="L37" s="1">
        <f>SUM(J36:L36)</f>
        <v>39.5247941457623</v>
      </c>
      <c r="Q37" s="1">
        <f>SUM(N36:Q36)</f>
        <v>28.8381899783215</v>
      </c>
      <c r="R37" s="1">
        <f>SUM(O36:Q36)</f>
        <v>21.3816508952685</v>
      </c>
      <c r="W37" s="23"/>
      <c r="X37" s="23"/>
      <c r="Y37" s="23"/>
      <c r="Z37" s="23"/>
    </row>
    <row r="38" s="1" customFormat="1" spans="11:15">
      <c r="K38" s="14" t="s">
        <v>97</v>
      </c>
      <c r="L38" s="14"/>
      <c r="M38" s="14"/>
      <c r="N38" s="14"/>
      <c r="O38" s="14"/>
    </row>
    <row r="41" s="1" customFormat="1" spans="2:36">
      <c r="B41" s="3" t="s">
        <v>76</v>
      </c>
      <c r="C41" s="3" t="s">
        <v>78</v>
      </c>
      <c r="D41" s="4" t="s">
        <v>11</v>
      </c>
      <c r="E41" s="3" t="s">
        <v>12</v>
      </c>
      <c r="F41" s="5" t="s">
        <v>13</v>
      </c>
      <c r="G41" s="5" t="s">
        <v>69</v>
      </c>
      <c r="I41" s="3" t="s">
        <v>76</v>
      </c>
      <c r="J41" s="3" t="s">
        <v>78</v>
      </c>
      <c r="K41" s="4" t="s">
        <v>11</v>
      </c>
      <c r="L41" s="3" t="s">
        <v>12</v>
      </c>
      <c r="M41" s="5" t="s">
        <v>87</v>
      </c>
      <c r="N41" s="3" t="s">
        <v>76</v>
      </c>
      <c r="O41" s="3" t="s">
        <v>78</v>
      </c>
      <c r="P41" s="4" t="s">
        <v>11</v>
      </c>
      <c r="Q41" s="3" t="s">
        <v>12</v>
      </c>
      <c r="R41" s="5" t="s">
        <v>13</v>
      </c>
      <c r="S41" s="5" t="s">
        <v>69</v>
      </c>
      <c r="T41" s="1"/>
      <c r="U41" s="1"/>
      <c r="V41" s="1"/>
      <c r="W41" s="25" t="s">
        <v>88</v>
      </c>
      <c r="X41" s="26" t="s">
        <v>76</v>
      </c>
      <c r="Y41" s="28" t="s">
        <v>13</v>
      </c>
      <c r="Z41" s="5" t="s">
        <v>69</v>
      </c>
      <c r="AA41" s="1"/>
      <c r="AB41" s="1"/>
      <c r="AC41" s="1"/>
      <c r="AD41" s="1"/>
      <c r="AE41" s="3" t="s">
        <v>89</v>
      </c>
      <c r="AF41" s="3" t="s">
        <v>90</v>
      </c>
      <c r="AG41" s="3" t="s">
        <v>91</v>
      </c>
      <c r="AH41" s="3" t="s">
        <v>92</v>
      </c>
      <c r="AI41" s="5" t="s">
        <v>13</v>
      </c>
      <c r="AJ41" s="5" t="s">
        <v>93</v>
      </c>
    </row>
    <row r="42" s="1" customFormat="1" spans="2:36">
      <c r="B42" s="1">
        <v>0.664502291802526</v>
      </c>
      <c r="C42" s="1">
        <v>12.4489729075321</v>
      </c>
      <c r="D42" s="1">
        <v>0.0490069679247089</v>
      </c>
      <c r="E42" s="1">
        <v>13.9323018270796</v>
      </c>
      <c r="F42" s="1">
        <v>15.49862123976</v>
      </c>
      <c r="G42" s="1">
        <v>57.406594765901</v>
      </c>
      <c r="H42" s="1" t="s">
        <v>75</v>
      </c>
      <c r="I42" s="1">
        <v>0.0503506861871511</v>
      </c>
      <c r="J42" s="1">
        <v>0.914868910736015</v>
      </c>
      <c r="K42" s="1">
        <v>0.767145549910425</v>
      </c>
      <c r="L42" s="1">
        <v>11.4570573336113</v>
      </c>
      <c r="M42" s="1"/>
      <c r="N42" s="1">
        <v>9.85988571622486</v>
      </c>
      <c r="O42" s="1">
        <v>8.36439321382429</v>
      </c>
      <c r="P42" s="1">
        <v>15.4963845977149</v>
      </c>
      <c r="Q42" s="1">
        <v>10.6432873406179</v>
      </c>
      <c r="R42" s="1">
        <v>22.9608189794303</v>
      </c>
      <c r="S42" s="1">
        <v>19.4858076717428</v>
      </c>
      <c r="T42" s="1"/>
      <c r="U42" s="1"/>
      <c r="V42" s="1">
        <v>1</v>
      </c>
      <c r="W42" s="1">
        <v>26.4302817025364</v>
      </c>
      <c r="X42" s="1">
        <v>0.664502291802526</v>
      </c>
      <c r="Y42" s="1">
        <v>15.49862123976</v>
      </c>
      <c r="Z42" s="1">
        <v>57.406594765901</v>
      </c>
      <c r="AA42" s="1"/>
      <c r="AB42" s="1"/>
      <c r="AC42" s="1"/>
      <c r="AD42" s="1">
        <v>1</v>
      </c>
      <c r="AE42" s="1">
        <v>13.1390717942577</v>
      </c>
      <c r="AF42" s="1">
        <v>34.5040651521571</v>
      </c>
      <c r="AG42" s="1">
        <v>0.0503506861871511</v>
      </c>
      <c r="AH42" s="1">
        <v>9.85988571622486</v>
      </c>
      <c r="AI42" s="1">
        <v>22.9608189794303</v>
      </c>
      <c r="AJ42" s="1">
        <v>19.4858076717428</v>
      </c>
    </row>
    <row r="43" s="1" customFormat="1" spans="2:36">
      <c r="B43" s="1">
        <v>36.5885124502823</v>
      </c>
      <c r="C43" s="1">
        <v>38.7769628720393</v>
      </c>
      <c r="D43" s="1">
        <v>10.1940799607626</v>
      </c>
      <c r="E43" s="1">
        <v>7.46180275850196</v>
      </c>
      <c r="F43" s="1">
        <v>3.58921939263692</v>
      </c>
      <c r="G43" s="1">
        <v>3.38942256577688</v>
      </c>
      <c r="I43" s="1">
        <v>5.77810142315299</v>
      </c>
      <c r="J43" s="1">
        <v>8.15532992465739</v>
      </c>
      <c r="K43" s="1">
        <v>1.28229919926243</v>
      </c>
      <c r="L43" s="1">
        <v>2.40888785777224</v>
      </c>
      <c r="M43" s="1"/>
      <c r="N43" s="1">
        <v>31.0021748895678</v>
      </c>
      <c r="O43" s="1">
        <v>39.8792648926485</v>
      </c>
      <c r="P43" s="1">
        <v>7.61956071219567</v>
      </c>
      <c r="Q43" s="1">
        <v>2.91519951169138</v>
      </c>
      <c r="R43" s="1">
        <v>0.0773586771492382</v>
      </c>
      <c r="S43" s="1">
        <v>0.881822911902275</v>
      </c>
      <c r="T43" s="1"/>
      <c r="U43" s="1"/>
      <c r="V43" s="1">
        <v>2</v>
      </c>
      <c r="W43" s="1">
        <v>56.4328455913039</v>
      </c>
      <c r="X43" s="1">
        <v>36.5885124502823</v>
      </c>
      <c r="Y43" s="1">
        <v>3.58921939263692</v>
      </c>
      <c r="Z43" s="1">
        <v>3.38942256577688</v>
      </c>
      <c r="AA43" s="1"/>
      <c r="AB43" s="1"/>
      <c r="AC43" s="1"/>
      <c r="AD43" s="1">
        <v>2</v>
      </c>
      <c r="AE43" s="1">
        <v>11.8465169816921</v>
      </c>
      <c r="AF43" s="1">
        <v>50.4140251165355</v>
      </c>
      <c r="AG43" s="1">
        <v>5.77810142315299</v>
      </c>
      <c r="AH43" s="1">
        <v>31.0021748895678</v>
      </c>
      <c r="AI43" s="1">
        <v>0.0773586771492382</v>
      </c>
      <c r="AJ43" s="1">
        <v>0.881822911902275</v>
      </c>
    </row>
    <row r="44" s="1" customFormat="1" spans="2:36">
      <c r="B44" s="1">
        <v>27.9611205326639</v>
      </c>
      <c r="C44" s="1">
        <v>16.5968313028435</v>
      </c>
      <c r="D44" s="1">
        <v>15.0287271203691</v>
      </c>
      <c r="E44" s="1">
        <v>14.2332159822761</v>
      </c>
      <c r="F44" s="1">
        <v>9.18882421083649</v>
      </c>
      <c r="G44" s="1">
        <v>16.9912808510109</v>
      </c>
      <c r="I44" s="1">
        <v>21.6386577635304</v>
      </c>
      <c r="J44" s="1">
        <v>4.0664910671978</v>
      </c>
      <c r="K44" s="1">
        <v>8.41752080624497</v>
      </c>
      <c r="L44" s="1">
        <v>10.0387012696165</v>
      </c>
      <c r="M44" s="1"/>
      <c r="N44" s="1">
        <v>5.16290696501651</v>
      </c>
      <c r="O44" s="1">
        <v>17.7281367544488</v>
      </c>
      <c r="P44" s="1">
        <v>0.0952920779244955</v>
      </c>
      <c r="Q44" s="1">
        <v>2.9585190451984</v>
      </c>
      <c r="R44" s="1">
        <v>11.0604556546699</v>
      </c>
      <c r="S44" s="1">
        <v>18.8333185961523</v>
      </c>
      <c r="T44" s="1"/>
      <c r="U44" s="1"/>
      <c r="V44" s="1">
        <v>3</v>
      </c>
      <c r="W44" s="1">
        <v>45.8587744054887</v>
      </c>
      <c r="X44" s="1">
        <v>27.9611205326639</v>
      </c>
      <c r="Y44" s="1">
        <v>9.18882421083649</v>
      </c>
      <c r="Z44" s="1">
        <v>16.9912808510109</v>
      </c>
      <c r="AA44" s="1"/>
      <c r="AB44" s="1"/>
      <c r="AC44" s="1"/>
      <c r="AD44" s="1">
        <v>3</v>
      </c>
      <c r="AE44" s="1">
        <v>22.5227131430593</v>
      </c>
      <c r="AF44" s="1">
        <v>20.7819478775717</v>
      </c>
      <c r="AG44" s="1">
        <v>21.6386577635304</v>
      </c>
      <c r="AH44" s="1">
        <v>5.16290696501651</v>
      </c>
      <c r="AI44" s="1">
        <v>11.0604556546699</v>
      </c>
      <c r="AJ44" s="1">
        <v>18.8333185961523</v>
      </c>
    </row>
    <row r="45" s="1" customFormat="1" spans="2:36">
      <c r="B45" s="1">
        <v>10.5077672199107</v>
      </c>
      <c r="C45" s="1">
        <v>56.9793461496015</v>
      </c>
      <c r="D45" s="1">
        <v>2.29181464325971</v>
      </c>
      <c r="E45" s="1">
        <v>15.0044991206292</v>
      </c>
      <c r="F45" s="1">
        <v>6.12098165689954</v>
      </c>
      <c r="G45" s="1">
        <v>9.09559120969936</v>
      </c>
      <c r="I45" s="1">
        <v>11.4676694896892</v>
      </c>
      <c r="J45" s="1">
        <v>10.0160216842103</v>
      </c>
      <c r="K45" s="1">
        <v>2.87626887929627</v>
      </c>
      <c r="L45" s="1">
        <v>6.83671019317142</v>
      </c>
      <c r="M45" s="1"/>
      <c r="N45" s="1">
        <v>33.5430952166677</v>
      </c>
      <c r="O45" s="1">
        <v>5.2517718498498</v>
      </c>
      <c r="P45" s="1">
        <v>5.5365995718048</v>
      </c>
      <c r="Q45" s="1">
        <v>14.1200365941334</v>
      </c>
      <c r="R45" s="1">
        <v>5.99037518044936</v>
      </c>
      <c r="S45" s="1">
        <v>4.3614513407277</v>
      </c>
      <c r="T45" s="1"/>
      <c r="U45" s="1"/>
      <c r="V45" s="1">
        <v>4</v>
      </c>
      <c r="W45" s="1">
        <v>74.2756599134904</v>
      </c>
      <c r="X45" s="1">
        <v>10.5077672199107</v>
      </c>
      <c r="Y45" s="1">
        <v>6.12098165689954</v>
      </c>
      <c r="Z45" s="1">
        <v>9.09559120969936</v>
      </c>
      <c r="AA45" s="1"/>
      <c r="AB45" s="1"/>
      <c r="AC45" s="1"/>
      <c r="AD45" s="1">
        <v>4</v>
      </c>
      <c r="AE45" s="1">
        <v>19.729000756678</v>
      </c>
      <c r="AF45" s="1">
        <v>24.908408015788</v>
      </c>
      <c r="AG45" s="1">
        <v>11.4676694896892</v>
      </c>
      <c r="AH45" s="1">
        <v>33.5430952166677</v>
      </c>
      <c r="AI45" s="1">
        <v>5.99037518044936</v>
      </c>
      <c r="AJ45" s="1">
        <v>4.3614513407277</v>
      </c>
    </row>
    <row r="46" s="1" customFormat="1" spans="2:36">
      <c r="B46" s="1">
        <v>27.8174114498779</v>
      </c>
      <c r="C46" s="1">
        <v>41.6810322833944</v>
      </c>
      <c r="D46" s="1">
        <v>6.14141862243265</v>
      </c>
      <c r="E46" s="1">
        <v>10.9805554463797</v>
      </c>
      <c r="F46" s="1">
        <v>9.45049663806486</v>
      </c>
      <c r="G46" s="1">
        <v>3.92908555985042</v>
      </c>
      <c r="I46" s="1">
        <v>2.96719246623607</v>
      </c>
      <c r="J46" s="1">
        <v>1.15298385067069</v>
      </c>
      <c r="K46" s="1">
        <v>2.04026314547699</v>
      </c>
      <c r="L46" s="1">
        <v>2.03466792214784</v>
      </c>
      <c r="M46" s="1"/>
      <c r="N46" s="1">
        <v>15.5520741563939</v>
      </c>
      <c r="O46" s="1">
        <v>40.7167067768964</v>
      </c>
      <c r="P46" s="1">
        <v>3.7767347333652</v>
      </c>
      <c r="Q46" s="1">
        <v>3.16833277476895</v>
      </c>
      <c r="R46" s="1">
        <v>10.0681910975752</v>
      </c>
      <c r="S46" s="1">
        <v>18.5228530764687</v>
      </c>
      <c r="T46" s="1"/>
      <c r="U46" s="1"/>
      <c r="V46" s="1">
        <v>5</v>
      </c>
      <c r="W46" s="1">
        <v>58.8030063522068</v>
      </c>
      <c r="X46" s="1">
        <v>27.8174114498779</v>
      </c>
      <c r="Y46" s="1">
        <v>9.45049663806486</v>
      </c>
      <c r="Z46" s="1">
        <v>3.92908555985042</v>
      </c>
      <c r="AA46" s="1"/>
      <c r="AB46" s="1"/>
      <c r="AC46" s="1"/>
      <c r="AD46" s="1">
        <v>5</v>
      </c>
      <c r="AE46" s="1">
        <v>5.22791491829552</v>
      </c>
      <c r="AF46" s="1">
        <v>47.6617742850306</v>
      </c>
      <c r="AG46" s="1">
        <v>2.96719246623607</v>
      </c>
      <c r="AH46" s="1">
        <v>15.5520741563939</v>
      </c>
      <c r="AI46" s="1">
        <v>10.0681910975752</v>
      </c>
      <c r="AJ46" s="1">
        <v>18.5228530764687</v>
      </c>
    </row>
    <row r="47" s="1" customFormat="1" spans="2:36">
      <c r="B47" s="1">
        <v>22.6404380798959</v>
      </c>
      <c r="C47" s="1">
        <v>40.0191757801609</v>
      </c>
      <c r="D47" s="1">
        <v>12.4785540981298</v>
      </c>
      <c r="E47" s="1">
        <v>16.3706385620837</v>
      </c>
      <c r="F47" s="1">
        <v>8.14113435691861</v>
      </c>
      <c r="G47" s="1">
        <v>0.3500591228111</v>
      </c>
      <c r="I47" s="1">
        <v>35.5788355233381</v>
      </c>
      <c r="J47" s="1">
        <v>4.57036198480648</v>
      </c>
      <c r="K47" s="1">
        <v>0.328485278176977</v>
      </c>
      <c r="L47" s="1">
        <v>6.43230257165015</v>
      </c>
      <c r="M47" s="1"/>
      <c r="N47" s="1">
        <v>1.41495981269455</v>
      </c>
      <c r="O47" s="1">
        <v>29.4172222361875</v>
      </c>
      <c r="P47" s="1">
        <v>7.49896183768692</v>
      </c>
      <c r="Q47" s="1">
        <v>5.50024019590299</v>
      </c>
      <c r="R47" s="1">
        <v>5.03502666152418</v>
      </c>
      <c r="S47" s="1">
        <v>4.22360389803217</v>
      </c>
      <c r="T47" s="1"/>
      <c r="U47" s="1"/>
      <c r="V47" s="1">
        <v>6</v>
      </c>
      <c r="W47" s="1">
        <v>68.8683684403744</v>
      </c>
      <c r="X47" s="1">
        <v>22.6404380798959</v>
      </c>
      <c r="Y47" s="1">
        <v>8.14113435691861</v>
      </c>
      <c r="Z47" s="1">
        <v>0.3500591228111</v>
      </c>
      <c r="AA47" s="1"/>
      <c r="AB47" s="1"/>
      <c r="AC47" s="1"/>
      <c r="AD47" s="1">
        <v>6</v>
      </c>
      <c r="AE47" s="1">
        <v>11.3311498346336</v>
      </c>
      <c r="AF47" s="1">
        <v>42.4164242697774</v>
      </c>
      <c r="AG47" s="1">
        <v>35.5788355233381</v>
      </c>
      <c r="AH47" s="1">
        <v>1.41495981269455</v>
      </c>
      <c r="AI47" s="1">
        <v>5.03502666152418</v>
      </c>
      <c r="AJ47" s="1">
        <v>4.22360389803217</v>
      </c>
    </row>
    <row r="48" s="1" customFormat="1" spans="2:36">
      <c r="B48" s="1">
        <v>14.8716131503307</v>
      </c>
      <c r="C48" s="1">
        <v>44.2236334795573</v>
      </c>
      <c r="D48" s="1">
        <v>7.5899687891034</v>
      </c>
      <c r="E48" s="1">
        <v>15.1920747649038</v>
      </c>
      <c r="F48" s="1">
        <v>8.948914188392</v>
      </c>
      <c r="G48" s="1">
        <v>9.17379562771279</v>
      </c>
      <c r="I48" s="1">
        <v>30.0578403220124</v>
      </c>
      <c r="J48" s="1">
        <v>3.2689949876075</v>
      </c>
      <c r="K48" s="1">
        <v>5.61593696603408</v>
      </c>
      <c r="L48" s="1">
        <v>3.21010404468221</v>
      </c>
      <c r="M48" s="1"/>
      <c r="N48" s="1">
        <v>1.13598245654363</v>
      </c>
      <c r="O48" s="1">
        <v>34.2333954082028</v>
      </c>
      <c r="P48" s="1">
        <v>3.95524573642677</v>
      </c>
      <c r="Q48" s="1">
        <v>6.91230929308279</v>
      </c>
      <c r="R48" s="1">
        <v>5.24042131508756</v>
      </c>
      <c r="S48" s="1">
        <v>6.36976947032017</v>
      </c>
      <c r="T48" s="1"/>
      <c r="U48" s="1"/>
      <c r="V48" s="1">
        <v>7</v>
      </c>
      <c r="W48" s="1">
        <v>67.0056770335645</v>
      </c>
      <c r="X48" s="1">
        <v>14.8716131503307</v>
      </c>
      <c r="Y48" s="1">
        <v>8.948914188392</v>
      </c>
      <c r="Z48" s="1">
        <v>9.17379562771279</v>
      </c>
      <c r="AA48" s="1"/>
      <c r="AB48" s="1"/>
      <c r="AC48" s="1"/>
      <c r="AD48" s="1">
        <v>7</v>
      </c>
      <c r="AE48" s="1">
        <v>12.0950359983238</v>
      </c>
      <c r="AF48" s="1">
        <v>45.1009504377124</v>
      </c>
      <c r="AG48" s="1">
        <v>30.0578403220124</v>
      </c>
      <c r="AH48" s="1">
        <v>1.13598245654363</v>
      </c>
      <c r="AI48" s="1">
        <v>5.24042131508756</v>
      </c>
      <c r="AJ48" s="1">
        <v>6.36976947032017</v>
      </c>
    </row>
    <row r="49" s="1" customFormat="1" spans="2:36">
      <c r="B49" s="1">
        <v>9.49588234893256</v>
      </c>
      <c r="C49" s="1">
        <v>29.9414077790901</v>
      </c>
      <c r="D49" s="1">
        <v>27.0980268433614</v>
      </c>
      <c r="E49" s="1">
        <v>3.46188512954468</v>
      </c>
      <c r="F49" s="1">
        <v>12.7247163641279</v>
      </c>
      <c r="G49" s="1">
        <v>17.2780815349434</v>
      </c>
      <c r="I49" s="1">
        <v>0.243150895776812</v>
      </c>
      <c r="J49" s="1">
        <v>10.4305678644126</v>
      </c>
      <c r="K49" s="1">
        <v>18.542023399279</v>
      </c>
      <c r="L49" s="1">
        <v>2.5603279319106</v>
      </c>
      <c r="M49" s="1"/>
      <c r="N49" s="1">
        <v>7.63932257746439</v>
      </c>
      <c r="O49" s="1">
        <v>19.452543146733</v>
      </c>
      <c r="P49" s="1">
        <v>9.38292316380389</v>
      </c>
      <c r="Q49" s="1">
        <v>0.559256751231795</v>
      </c>
      <c r="R49" s="1">
        <v>14.9525152614889</v>
      </c>
      <c r="S49" s="1">
        <v>16.237369007899</v>
      </c>
      <c r="T49" s="1"/>
      <c r="U49" s="1"/>
      <c r="V49" s="1">
        <v>8</v>
      </c>
      <c r="W49" s="1">
        <v>60.5013197519962</v>
      </c>
      <c r="X49" s="1">
        <v>9.49588234893256</v>
      </c>
      <c r="Y49" s="1">
        <v>12.7247163641279</v>
      </c>
      <c r="Z49" s="1">
        <v>17.2780815349434</v>
      </c>
      <c r="AA49" s="1"/>
      <c r="AB49" s="1"/>
      <c r="AC49" s="1"/>
      <c r="AD49" s="1">
        <v>8</v>
      </c>
      <c r="AE49" s="1">
        <v>31.5329191956022</v>
      </c>
      <c r="AF49" s="1">
        <v>29.3947230617687</v>
      </c>
      <c r="AG49" s="1">
        <v>0.243150895776812</v>
      </c>
      <c r="AH49" s="1">
        <v>7.63932257746439</v>
      </c>
      <c r="AI49" s="1">
        <v>14.9525152614889</v>
      </c>
      <c r="AJ49" s="1">
        <v>16.237369007899</v>
      </c>
    </row>
    <row r="50" s="1" customFormat="1" spans="2:36">
      <c r="B50" s="1">
        <v>3.98678766513441</v>
      </c>
      <c r="C50" s="1">
        <v>36.4511034311053</v>
      </c>
      <c r="D50" s="1">
        <v>49.4661747972504</v>
      </c>
      <c r="E50" s="1">
        <v>5.37457547849832</v>
      </c>
      <c r="F50" s="1">
        <v>2.47468971923318</v>
      </c>
      <c r="G50" s="1">
        <v>2.24666890877836</v>
      </c>
      <c r="I50" s="1">
        <v>4.70352533664364</v>
      </c>
      <c r="J50" s="1">
        <v>14.5277893459546</v>
      </c>
      <c r="K50" s="1">
        <v>36.4323124998201</v>
      </c>
      <c r="L50" s="1">
        <v>6.9484897401054</v>
      </c>
      <c r="M50" s="1"/>
      <c r="N50" s="1">
        <v>12.199416148699</v>
      </c>
      <c r="O50" s="1">
        <v>15.2883519711333</v>
      </c>
      <c r="P50" s="1">
        <v>4.44756287923987</v>
      </c>
      <c r="Q50" s="1">
        <v>0.783476201905324</v>
      </c>
      <c r="R50" s="1">
        <v>1.89667097260296</v>
      </c>
      <c r="S50" s="1">
        <v>2.77240490389583</v>
      </c>
      <c r="T50" s="1"/>
      <c r="U50" s="1"/>
      <c r="V50" s="1">
        <v>9</v>
      </c>
      <c r="W50" s="1">
        <v>91.291853706854</v>
      </c>
      <c r="X50" s="1">
        <v>3.98678766513441</v>
      </c>
      <c r="Y50" s="1">
        <v>2.47468971923318</v>
      </c>
      <c r="Z50" s="1">
        <v>2.24666890877836</v>
      </c>
      <c r="AA50" s="1"/>
      <c r="AB50" s="1"/>
      <c r="AC50" s="1"/>
      <c r="AD50" s="1">
        <v>9</v>
      </c>
      <c r="AE50" s="1">
        <v>57.9085915858801</v>
      </c>
      <c r="AF50" s="1">
        <v>20.5193910522785</v>
      </c>
      <c r="AG50" s="1">
        <v>4.70352533664364</v>
      </c>
      <c r="AH50" s="1">
        <v>12.199416148699</v>
      </c>
      <c r="AI50" s="1">
        <v>1.89667097260296</v>
      </c>
      <c r="AJ50" s="1">
        <v>2.77240490389583</v>
      </c>
    </row>
    <row r="51" s="1" customFormat="1" spans="2:36">
      <c r="B51" s="1">
        <v>13.3681922812815</v>
      </c>
      <c r="C51" s="1">
        <v>27.5674505065772</v>
      </c>
      <c r="D51" s="1">
        <v>34.9868070924634</v>
      </c>
      <c r="E51" s="1">
        <v>3.59276471799261</v>
      </c>
      <c r="F51" s="1">
        <v>10.7679797262349</v>
      </c>
      <c r="G51" s="1">
        <v>9.71680567545028</v>
      </c>
      <c r="I51" s="1">
        <v>10.8315123271955</v>
      </c>
      <c r="J51" s="1">
        <v>6.24258558930194</v>
      </c>
      <c r="K51" s="1">
        <v>11.2094838781256</v>
      </c>
      <c r="L51" s="1">
        <v>0.160320562607679</v>
      </c>
      <c r="M51" s="1"/>
      <c r="N51" s="1">
        <v>12.2697502006022</v>
      </c>
      <c r="O51" s="1">
        <v>20.111247447428</v>
      </c>
      <c r="P51" s="1">
        <v>19.8618008177938</v>
      </c>
      <c r="Q51" s="1">
        <v>3.08593254691247</v>
      </c>
      <c r="R51" s="1">
        <v>11.1974374632774</v>
      </c>
      <c r="S51" s="1">
        <v>5.02992916675545</v>
      </c>
      <c r="T51" s="1"/>
      <c r="U51" s="1"/>
      <c r="V51" s="1">
        <v>10</v>
      </c>
      <c r="W51" s="1">
        <v>66.1470223170332</v>
      </c>
      <c r="X51" s="1">
        <v>13.3681922812815</v>
      </c>
      <c r="Y51" s="1">
        <v>10.7679797262349</v>
      </c>
      <c r="Z51" s="1">
        <v>9.71680567545028</v>
      </c>
      <c r="AA51" s="1"/>
      <c r="AB51" s="1"/>
      <c r="AC51" s="1"/>
      <c r="AD51" s="1">
        <v>10</v>
      </c>
      <c r="AE51" s="1">
        <v>17.6123900300352</v>
      </c>
      <c r="AF51" s="1">
        <v>43.0589808121343</v>
      </c>
      <c r="AG51" s="1">
        <v>10.8315123271955</v>
      </c>
      <c r="AH51" s="1">
        <v>12.2697502006022</v>
      </c>
      <c r="AI51" s="1">
        <v>11.1974374632774</v>
      </c>
      <c r="AJ51" s="1">
        <v>5.02992916675545</v>
      </c>
    </row>
    <row r="52" s="1" customFormat="1" spans="2:36">
      <c r="B52" s="1">
        <v>4.14920374226552</v>
      </c>
      <c r="C52" s="1">
        <v>35.6809007479913</v>
      </c>
      <c r="D52" s="1">
        <v>18.1188405038376</v>
      </c>
      <c r="E52" s="1">
        <v>7.1013704534358</v>
      </c>
      <c r="F52" s="1">
        <v>33.272634587959</v>
      </c>
      <c r="G52" s="1">
        <v>1.67704996451073</v>
      </c>
      <c r="I52" s="1">
        <v>2.48944017629932</v>
      </c>
      <c r="J52" s="1">
        <v>32.3150318993987</v>
      </c>
      <c r="K52" s="1">
        <v>14.2058859823482</v>
      </c>
      <c r="L52" s="1">
        <v>3.5341633946541</v>
      </c>
      <c r="M52" s="1"/>
      <c r="N52" s="1">
        <v>2.37464332157002</v>
      </c>
      <c r="O52" s="1">
        <v>1.49980119004787</v>
      </c>
      <c r="P52" s="1">
        <v>18.4058284433888</v>
      </c>
      <c r="Q52" s="1">
        <v>0.323379504140326</v>
      </c>
      <c r="R52" s="1">
        <v>11.5841222468671</v>
      </c>
      <c r="S52" s="1">
        <v>13.2677038412856</v>
      </c>
      <c r="T52" s="1"/>
      <c r="U52" s="1"/>
      <c r="V52" s="1">
        <v>11</v>
      </c>
      <c r="W52" s="1">
        <v>60.9011117052647</v>
      </c>
      <c r="X52" s="1">
        <v>4.14920374226552</v>
      </c>
      <c r="Y52" s="1">
        <v>33.272634587959</v>
      </c>
      <c r="Z52" s="1">
        <v>1.67704996451073</v>
      </c>
      <c r="AA52" s="1"/>
      <c r="AB52" s="1"/>
      <c r="AC52" s="1"/>
      <c r="AD52" s="1">
        <v>11</v>
      </c>
      <c r="AE52" s="1">
        <v>50.055081276401</v>
      </c>
      <c r="AF52" s="1">
        <v>20.229009137577</v>
      </c>
      <c r="AG52" s="1">
        <v>2.48944017629932</v>
      </c>
      <c r="AH52" s="1">
        <v>2.37464332157002</v>
      </c>
      <c r="AI52" s="1">
        <v>11.5841222468671</v>
      </c>
      <c r="AJ52" s="1">
        <v>13.2677038412856</v>
      </c>
    </row>
    <row r="53" s="1" customFormat="1" spans="2:36">
      <c r="B53" s="1">
        <v>13.6078851976123</v>
      </c>
      <c r="C53" s="1">
        <v>33.4106723859719</v>
      </c>
      <c r="D53" s="1">
        <v>34.8319676512149</v>
      </c>
      <c r="E53" s="1">
        <v>6.11870020264796</v>
      </c>
      <c r="F53" s="1">
        <v>2.97679657017147</v>
      </c>
      <c r="G53" s="1">
        <v>9.05397799238145</v>
      </c>
      <c r="I53" s="1">
        <v>9.17498915182824</v>
      </c>
      <c r="J53" s="1">
        <v>6.83393892801184</v>
      </c>
      <c r="K53" s="1">
        <v>17.2768422534872</v>
      </c>
      <c r="L53" s="1">
        <v>0.560790686974313</v>
      </c>
      <c r="M53" s="1"/>
      <c r="N53" s="1">
        <v>10.2086791057787</v>
      </c>
      <c r="O53" s="1">
        <v>31.2664971638325</v>
      </c>
      <c r="P53" s="1">
        <v>0.179302336163793</v>
      </c>
      <c r="Q53" s="1">
        <v>4.21320599814561</v>
      </c>
      <c r="R53" s="1">
        <v>7.57068651864564</v>
      </c>
      <c r="S53" s="1">
        <v>12.7150678571321</v>
      </c>
      <c r="T53" s="1"/>
      <c r="U53" s="1"/>
      <c r="V53" s="1">
        <v>12</v>
      </c>
      <c r="W53" s="1">
        <v>74.3613402398348</v>
      </c>
      <c r="X53" s="1">
        <v>13.6078851976123</v>
      </c>
      <c r="Y53" s="1">
        <v>2.97679657017147</v>
      </c>
      <c r="Z53" s="1">
        <v>9.05397799238145</v>
      </c>
      <c r="AA53" s="1"/>
      <c r="AB53" s="1"/>
      <c r="AC53" s="1"/>
      <c r="AD53" s="1">
        <v>12</v>
      </c>
      <c r="AE53" s="1">
        <v>24.6715718684734</v>
      </c>
      <c r="AF53" s="1">
        <v>35.6590054981419</v>
      </c>
      <c r="AG53" s="1">
        <v>9.17498915182824</v>
      </c>
      <c r="AH53" s="1">
        <v>10.2086791057787</v>
      </c>
      <c r="AI53" s="1">
        <v>7.57068651864564</v>
      </c>
      <c r="AJ53" s="1">
        <v>12.7150678571321</v>
      </c>
    </row>
    <row r="54" s="1" customFormat="1" spans="2:36">
      <c r="B54" s="1">
        <v>9.29520468070184</v>
      </c>
      <c r="C54" s="1">
        <v>3.74445113351778</v>
      </c>
      <c r="D54" s="1">
        <v>60.5434776603326</v>
      </c>
      <c r="E54" s="1">
        <v>3.88229723783686</v>
      </c>
      <c r="F54" s="1">
        <v>22.2890537156118</v>
      </c>
      <c r="G54" s="1">
        <v>0.245515571999173</v>
      </c>
      <c r="I54" s="1">
        <v>7.88598310226573</v>
      </c>
      <c r="J54" s="1">
        <v>2.63337653304226</v>
      </c>
      <c r="K54" s="1">
        <v>8.562407533605</v>
      </c>
      <c r="L54" s="1">
        <v>0.749171836694039</v>
      </c>
      <c r="M54" s="1"/>
      <c r="N54" s="1">
        <v>2.70488820476925</v>
      </c>
      <c r="O54" s="1">
        <v>9.3016596636807</v>
      </c>
      <c r="P54" s="1">
        <v>16.2525459911543</v>
      </c>
      <c r="Q54" s="1">
        <v>0.320915750900507</v>
      </c>
      <c r="R54" s="1">
        <v>23.4423686677199</v>
      </c>
      <c r="S54" s="1">
        <v>28.1466827161683</v>
      </c>
      <c r="T54" s="1"/>
      <c r="U54" s="1"/>
      <c r="V54" s="1">
        <v>13</v>
      </c>
      <c r="W54" s="1">
        <v>68.1702260316872</v>
      </c>
      <c r="X54" s="1">
        <v>9.29520468070184</v>
      </c>
      <c r="Y54" s="1">
        <v>22.2890537156118</v>
      </c>
      <c r="Z54" s="1">
        <v>0.245515571999173</v>
      </c>
      <c r="AA54" s="1"/>
      <c r="AB54" s="1"/>
      <c r="AC54" s="1"/>
      <c r="AD54" s="1">
        <v>13</v>
      </c>
      <c r="AE54" s="1">
        <v>11.9449559033413</v>
      </c>
      <c r="AF54" s="1">
        <v>25.8751214057355</v>
      </c>
      <c r="AG54" s="1">
        <v>7.88598310226573</v>
      </c>
      <c r="AH54" s="1">
        <v>2.70488820476925</v>
      </c>
      <c r="AI54" s="1">
        <v>23.4423686677199</v>
      </c>
      <c r="AJ54" s="1">
        <v>28.1466827161683</v>
      </c>
    </row>
    <row r="55" s="1" customFormat="1" spans="2:36">
      <c r="B55" s="1">
        <v>11.7628589047753</v>
      </c>
      <c r="C55" s="1">
        <v>22.7091538959283</v>
      </c>
      <c r="D55" s="1">
        <v>51.852495985083</v>
      </c>
      <c r="E55" s="1">
        <v>3.37534144174749</v>
      </c>
      <c r="F55" s="1">
        <v>5.94646207181456</v>
      </c>
      <c r="G55" s="1">
        <v>4.35368770065127</v>
      </c>
      <c r="I55" s="1">
        <v>25.026779445594</v>
      </c>
      <c r="J55" s="1">
        <v>10.8446055606301</v>
      </c>
      <c r="K55" s="1">
        <v>21.5437742521192</v>
      </c>
      <c r="L55" s="1">
        <v>2.74007376675298</v>
      </c>
      <c r="M55" s="1"/>
      <c r="N55" s="1">
        <v>2.89025217138953</v>
      </c>
      <c r="O55" s="1">
        <v>1.71352600766659</v>
      </c>
      <c r="P55" s="1">
        <v>9.95666124869306</v>
      </c>
      <c r="Q55" s="1">
        <v>1.34250687403489</v>
      </c>
      <c r="R55" s="1">
        <v>15.4458998411861</v>
      </c>
      <c r="S55" s="1">
        <v>8.4959208319336</v>
      </c>
      <c r="T55" s="1"/>
      <c r="U55" s="1"/>
      <c r="V55" s="1">
        <v>14</v>
      </c>
      <c r="W55" s="1">
        <v>77.9369913227588</v>
      </c>
      <c r="X55" s="1">
        <v>11.7628589047753</v>
      </c>
      <c r="Y55" s="1">
        <v>5.94646207181456</v>
      </c>
      <c r="Z55" s="1">
        <v>4.35368770065127</v>
      </c>
      <c r="AA55" s="1"/>
      <c r="AB55" s="1"/>
      <c r="AC55" s="1"/>
      <c r="AD55" s="1">
        <v>14</v>
      </c>
      <c r="AE55" s="1">
        <v>35.1284535795023</v>
      </c>
      <c r="AF55" s="1">
        <v>13.0126941303945</v>
      </c>
      <c r="AG55" s="1">
        <v>25.026779445594</v>
      </c>
      <c r="AH55" s="1">
        <v>2.89025217138953</v>
      </c>
      <c r="AI55" s="1">
        <v>15.4458998411861</v>
      </c>
      <c r="AJ55" s="1">
        <v>8.4959208319336</v>
      </c>
    </row>
    <row r="56" s="1" customFormat="1" spans="2:36">
      <c r="B56" s="1">
        <v>3.46244973946525</v>
      </c>
      <c r="C56" s="1">
        <v>45.5224826909209</v>
      </c>
      <c r="D56" s="1">
        <v>17.0215435633825</v>
      </c>
      <c r="E56" s="1">
        <v>1.7146934368624</v>
      </c>
      <c r="F56" s="1">
        <v>0.345954989142833</v>
      </c>
      <c r="G56" s="1">
        <v>31.9328755802261</v>
      </c>
      <c r="I56" s="1">
        <v>10.0455031021804</v>
      </c>
      <c r="J56" s="1">
        <v>13.6014830203499</v>
      </c>
      <c r="K56" s="1">
        <v>7.93811055866341</v>
      </c>
      <c r="L56" s="1">
        <v>4.20938912611189</v>
      </c>
      <c r="M56" s="1"/>
      <c r="N56" s="1">
        <v>0.686299723929988</v>
      </c>
      <c r="O56" s="1">
        <v>12.2164002042603</v>
      </c>
      <c r="P56" s="1">
        <v>29.3189275946128</v>
      </c>
      <c r="Q56" s="1">
        <v>0.588050625178639</v>
      </c>
      <c r="R56" s="1">
        <v>1.22171707628893</v>
      </c>
      <c r="S56" s="1">
        <v>20.1741189684238</v>
      </c>
      <c r="T56" s="1"/>
      <c r="U56" s="1"/>
      <c r="V56" s="1">
        <v>15</v>
      </c>
      <c r="W56" s="1">
        <v>64.2587196911658</v>
      </c>
      <c r="X56" s="1">
        <v>3.46244973946525</v>
      </c>
      <c r="Y56" s="1">
        <v>0.345954989142833</v>
      </c>
      <c r="Z56" s="1">
        <v>31.9328755802261</v>
      </c>
      <c r="AA56" s="1"/>
      <c r="AB56" s="1"/>
      <c r="AC56" s="1"/>
      <c r="AD56" s="1">
        <v>15</v>
      </c>
      <c r="AE56" s="1">
        <v>25.7489827051252</v>
      </c>
      <c r="AF56" s="1">
        <v>42.1233784240517</v>
      </c>
      <c r="AG56" s="1">
        <v>10.0455031021804</v>
      </c>
      <c r="AH56" s="1">
        <v>0.686299723929988</v>
      </c>
      <c r="AI56" s="1">
        <v>1.22171707628893</v>
      </c>
      <c r="AJ56" s="1">
        <v>20.1741189684238</v>
      </c>
    </row>
    <row r="57" s="1" customFormat="1" spans="2:36">
      <c r="B57" s="1">
        <v>7.80391172710575</v>
      </c>
      <c r="C57" s="1">
        <v>47.1987694559669</v>
      </c>
      <c r="D57" s="1">
        <v>35.2337659192145</v>
      </c>
      <c r="E57" s="1">
        <v>0.198723725498032</v>
      </c>
      <c r="F57" s="1">
        <v>4.0412123439354</v>
      </c>
      <c r="G57" s="1">
        <v>5.52361682827943</v>
      </c>
      <c r="I57" s="1">
        <v>4.35236307521047</v>
      </c>
      <c r="J57" s="1">
        <v>15.1880972690178</v>
      </c>
      <c r="K57" s="1">
        <v>9.86551616851417</v>
      </c>
      <c r="L57" s="1">
        <v>0.495500531794056</v>
      </c>
      <c r="M57" s="1"/>
      <c r="N57" s="1">
        <v>4.76245145090247</v>
      </c>
      <c r="O57" s="1">
        <v>10.46777663698</v>
      </c>
      <c r="P57" s="1">
        <v>37.7770264449692</v>
      </c>
      <c r="Q57" s="1">
        <v>2.03943738559319</v>
      </c>
      <c r="R57" s="1">
        <v>2.88284128067376</v>
      </c>
      <c r="S57" s="1">
        <v>12.1689897563449</v>
      </c>
      <c r="T57" s="1"/>
      <c r="U57" s="1"/>
      <c r="V57" s="1">
        <v>16</v>
      </c>
      <c r="W57" s="1">
        <v>82.6312591006794</v>
      </c>
      <c r="X57" s="1">
        <v>7.80391172710575</v>
      </c>
      <c r="Y57" s="1">
        <v>4.0412123439354</v>
      </c>
      <c r="Z57" s="1">
        <v>5.52361682827943</v>
      </c>
      <c r="AA57" s="1"/>
      <c r="AB57" s="1"/>
      <c r="AC57" s="1"/>
      <c r="AD57" s="1">
        <v>16</v>
      </c>
      <c r="AE57" s="1">
        <v>25.549113969326</v>
      </c>
      <c r="AF57" s="1">
        <v>50.2842404675424</v>
      </c>
      <c r="AG57" s="1">
        <v>4.35236307521047</v>
      </c>
      <c r="AH57" s="1">
        <v>4.76245145090247</v>
      </c>
      <c r="AI57" s="1">
        <v>2.88284128067376</v>
      </c>
      <c r="AJ57" s="1">
        <v>12.1689897563449</v>
      </c>
    </row>
    <row r="58" s="1" customFormat="1" spans="2:36">
      <c r="B58" s="1">
        <v>3.35399591025275</v>
      </c>
      <c r="C58" s="1">
        <v>33.3364442460584</v>
      </c>
      <c r="D58" s="1">
        <v>22.2776460617122</v>
      </c>
      <c r="E58" s="1">
        <v>1.32303907537722</v>
      </c>
      <c r="F58" s="1">
        <v>3.9518686984788</v>
      </c>
      <c r="G58" s="1">
        <v>35.7570060081207</v>
      </c>
      <c r="I58" s="1">
        <v>16.9703097420428</v>
      </c>
      <c r="J58" s="1">
        <v>7.32194566719929</v>
      </c>
      <c r="K58" s="1">
        <v>8.98636882982959</v>
      </c>
      <c r="L58" s="1">
        <v>0.897187587339255</v>
      </c>
      <c r="M58" s="1"/>
      <c r="N58" s="1">
        <v>0.521592650748561</v>
      </c>
      <c r="O58" s="1">
        <v>6.69012284150905</v>
      </c>
      <c r="P58" s="1">
        <v>22.4740101393409</v>
      </c>
      <c r="Q58" s="1">
        <v>4.23602924019164</v>
      </c>
      <c r="R58" s="1">
        <v>14.876457060193</v>
      </c>
      <c r="S58" s="1">
        <v>17.0259762416058</v>
      </c>
      <c r="T58" s="1"/>
      <c r="U58" s="1"/>
      <c r="V58" s="1">
        <v>17</v>
      </c>
      <c r="W58" s="1">
        <v>56.9371293831478</v>
      </c>
      <c r="X58" s="1">
        <v>3.35399591025275</v>
      </c>
      <c r="Y58" s="1">
        <v>3.9518686984788</v>
      </c>
      <c r="Z58" s="1">
        <v>35.7570060081207</v>
      </c>
      <c r="AA58" s="1"/>
      <c r="AB58" s="1"/>
      <c r="AC58" s="1"/>
      <c r="AD58" s="1">
        <v>17</v>
      </c>
      <c r="AE58" s="1">
        <v>17.2055020843681</v>
      </c>
      <c r="AF58" s="1">
        <v>33.4001622210416</v>
      </c>
      <c r="AG58" s="1">
        <v>16.9703097420428</v>
      </c>
      <c r="AH58" s="1">
        <v>0.521592650748561</v>
      </c>
      <c r="AI58" s="1">
        <v>14.876457060193</v>
      </c>
      <c r="AJ58" s="1">
        <v>17.0259762416058</v>
      </c>
    </row>
    <row r="59" s="1" customFormat="1" spans="2:36">
      <c r="B59" s="1">
        <v>1.68860221125601</v>
      </c>
      <c r="C59" s="1">
        <v>38.0513293964578</v>
      </c>
      <c r="D59" s="1">
        <v>12.4777002436486</v>
      </c>
      <c r="E59" s="1">
        <v>3.63260773388417</v>
      </c>
      <c r="F59" s="1">
        <v>13.1405776652667</v>
      </c>
      <c r="G59" s="1">
        <v>31.0091827494866</v>
      </c>
      <c r="H59" s="1"/>
      <c r="I59" s="1">
        <v>11.5121633552532</v>
      </c>
      <c r="J59" s="1">
        <v>5.31220738325855</v>
      </c>
      <c r="K59" s="1">
        <v>19.7705008069146</v>
      </c>
      <c r="L59" s="1">
        <v>0.358808086975994</v>
      </c>
      <c r="M59" s="1"/>
      <c r="N59" s="1">
        <v>3.41621730611541</v>
      </c>
      <c r="O59" s="1">
        <v>9.26086507938467</v>
      </c>
      <c r="P59" s="1">
        <v>20.0967509424443</v>
      </c>
      <c r="Q59" s="1">
        <v>2.21170404517378</v>
      </c>
      <c r="R59" s="1">
        <v>21.1665427999588</v>
      </c>
      <c r="S59" s="1">
        <v>6.89424019452076</v>
      </c>
      <c r="T59" s="1"/>
      <c r="U59" s="1"/>
      <c r="V59" s="1">
        <v>18</v>
      </c>
      <c r="W59" s="1">
        <v>54.1616373739906</v>
      </c>
      <c r="X59" s="1">
        <v>1.68860221125601</v>
      </c>
      <c r="Y59" s="1">
        <v>13.1405776652667</v>
      </c>
      <c r="Z59" s="1">
        <v>31.0091827494866</v>
      </c>
      <c r="AA59" s="1"/>
      <c r="AB59" s="1"/>
      <c r="AC59" s="1"/>
      <c r="AD59" s="1">
        <v>18</v>
      </c>
      <c r="AE59" s="1">
        <v>25.4415162771491</v>
      </c>
      <c r="AF59" s="1">
        <v>31.5693200670027</v>
      </c>
      <c r="AG59" s="1">
        <v>11.5121633552532</v>
      </c>
      <c r="AH59" s="1">
        <v>3.41621730611541</v>
      </c>
      <c r="AI59" s="1">
        <v>21.1665427999588</v>
      </c>
      <c r="AJ59" s="1">
        <v>6.89424019452076</v>
      </c>
    </row>
    <row r="60" s="1" customFormat="1" spans="2:36">
      <c r="B60" s="1">
        <v>5.6555982281306</v>
      </c>
      <c r="C60" s="1">
        <v>40.3494535296451</v>
      </c>
      <c r="D60" s="1">
        <v>16.3274922122825</v>
      </c>
      <c r="E60" s="1">
        <v>1.53949713679964</v>
      </c>
      <c r="F60" s="1">
        <v>1.20217507043216</v>
      </c>
      <c r="G60" s="1">
        <v>34.92578382271</v>
      </c>
      <c r="I60" s="1">
        <v>12.9499309697419</v>
      </c>
      <c r="J60" s="1">
        <v>3.61334460568345</v>
      </c>
      <c r="K60" s="1">
        <v>3.26012281770072</v>
      </c>
      <c r="L60" s="1">
        <v>1.47400866075076</v>
      </c>
      <c r="N60" s="1">
        <v>1.319436366025</v>
      </c>
      <c r="O60" s="1">
        <v>25.3774009191115</v>
      </c>
      <c r="P60" s="1">
        <v>18.2780163378878</v>
      </c>
      <c r="Q60" s="1">
        <v>0.813170001437231</v>
      </c>
      <c r="R60" s="1">
        <v>0.996435921093445</v>
      </c>
      <c r="S60" s="1">
        <v>31.9181334005682</v>
      </c>
      <c r="V60" s="1">
        <v>19</v>
      </c>
      <c r="W60" s="1">
        <v>58.2164428787272</v>
      </c>
      <c r="X60" s="1">
        <v>5.6555982281306</v>
      </c>
      <c r="Y60" s="1">
        <v>1.20217507043216</v>
      </c>
      <c r="Z60" s="1">
        <v>34.92578382271</v>
      </c>
      <c r="AD60" s="1">
        <v>19</v>
      </c>
      <c r="AE60" s="1">
        <v>8.34747608413493</v>
      </c>
      <c r="AF60" s="1">
        <v>44.4685872584365</v>
      </c>
      <c r="AG60" s="1">
        <v>12.9499309697419</v>
      </c>
      <c r="AH60" s="1">
        <v>1.319436366025</v>
      </c>
      <c r="AI60" s="1">
        <v>0.996435921093445</v>
      </c>
      <c r="AJ60" s="1">
        <v>31.9181334005682</v>
      </c>
    </row>
    <row r="61" s="1" customFormat="1" spans="1:20">
      <c r="A61" s="1" t="s">
        <v>95</v>
      </c>
      <c r="B61" s="1">
        <f t="shared" ref="B61:G61" si="6">AVERAGE(B42:B60)</f>
        <v>12.0358914637725</v>
      </c>
      <c r="C61" s="9">
        <f t="shared" si="6"/>
        <v>33.9310302091768</v>
      </c>
      <c r="D61" s="7">
        <f t="shared" si="6"/>
        <v>22.842605722935</v>
      </c>
      <c r="E61" s="1">
        <f t="shared" si="6"/>
        <v>7.07845180168312</v>
      </c>
      <c r="F61" s="1">
        <f t="shared" si="6"/>
        <v>9.16170069504827</v>
      </c>
      <c r="G61" s="2">
        <f t="shared" si="6"/>
        <v>14.9503201073842</v>
      </c>
      <c r="I61" s="7">
        <f t="shared" ref="I61:L61" si="7">AVERAGE(I42:I60)</f>
        <v>11.7749630712725</v>
      </c>
      <c r="J61" s="1">
        <f t="shared" si="7"/>
        <v>8.47421189874459</v>
      </c>
      <c r="K61" s="2">
        <f t="shared" si="7"/>
        <v>10.469540463411</v>
      </c>
      <c r="L61" s="1">
        <f t="shared" si="7"/>
        <v>3.53192963712225</v>
      </c>
      <c r="M61" s="1">
        <v>22.4756819992778</v>
      </c>
      <c r="N61" s="1">
        <f t="shared" ref="N61:S61" si="8">AVERAGE(N42:N60)</f>
        <v>8.35073833900545</v>
      </c>
      <c r="O61" s="7">
        <f t="shared" si="8"/>
        <v>17.8019517580961</v>
      </c>
      <c r="P61" s="7">
        <f t="shared" si="8"/>
        <v>13.1794808214006</v>
      </c>
      <c r="Q61" s="1">
        <f t="shared" si="8"/>
        <v>3.51236787790743</v>
      </c>
      <c r="R61" s="1">
        <f t="shared" si="8"/>
        <v>9.87717593030956</v>
      </c>
      <c r="S61" s="1">
        <f t="shared" si="8"/>
        <v>13.0276402027305</v>
      </c>
      <c r="T61" s="1">
        <v>34.4938004574041</v>
      </c>
    </row>
    <row r="62" s="1" customFormat="1" spans="11:12">
      <c r="K62" s="1">
        <f>SUM(I61:L61)</f>
        <v>34.2506450705504</v>
      </c>
      <c r="L62" s="1">
        <f>SUM(J61:L61)</f>
        <v>22.4756819992778</v>
      </c>
    </row>
    <row r="63" s="1" customFormat="1" spans="11:18">
      <c r="K63" s="14" t="s">
        <v>98</v>
      </c>
      <c r="L63" s="14"/>
      <c r="M63" s="14"/>
      <c r="N63" s="14"/>
      <c r="O63" s="14"/>
      <c r="Q63" s="1">
        <f>SUM(N61:Q61)</f>
        <v>42.8445387964095</v>
      </c>
      <c r="R63" s="1">
        <f>SUM(O61:Q61)</f>
        <v>34.4938004574041</v>
      </c>
    </row>
    <row r="66" s="1" customFormat="1" spans="12:14">
      <c r="L66" s="1">
        <v>0.53151609599585</v>
      </c>
      <c r="M66" s="1">
        <v>0.670863153407417</v>
      </c>
      <c r="N66" s="1">
        <v>0.701584475025034</v>
      </c>
    </row>
    <row r="68" s="1" customFormat="1" spans="7:19">
      <c r="G68" s="1" t="s">
        <v>99</v>
      </c>
      <c r="H68" s="14" t="s">
        <v>100</v>
      </c>
      <c r="I68" s="14"/>
      <c r="J68" s="1" t="s">
        <v>85</v>
      </c>
      <c r="L68" s="14" t="s">
        <v>100</v>
      </c>
      <c r="M68" s="14"/>
      <c r="N68" s="1" t="s">
        <v>85</v>
      </c>
      <c r="O68" s="1"/>
      <c r="P68" s="1" t="s">
        <v>75</v>
      </c>
      <c r="Q68" s="14" t="s">
        <v>100</v>
      </c>
      <c r="R68" s="14"/>
      <c r="S68" s="1" t="s">
        <v>85</v>
      </c>
    </row>
    <row r="69" s="1" customFormat="1" spans="7:19">
      <c r="G69" s="1" t="s">
        <v>101</v>
      </c>
      <c r="H69" s="14">
        <v>81.8879956323347</v>
      </c>
      <c r="I69" s="14"/>
      <c r="J69" s="1">
        <v>84.2632123797484</v>
      </c>
      <c r="L69" s="14">
        <f t="shared" ref="L69:Q69" si="9">100-L73</f>
        <v>77.6238863560948</v>
      </c>
      <c r="M69" s="14"/>
      <c r="N69" s="1">
        <f t="shared" si="9"/>
        <v>78.0474707011644</v>
      </c>
      <c r="P69" s="1" t="s">
        <v>101</v>
      </c>
      <c r="Q69" s="14">
        <f t="shared" si="9"/>
        <v>86.9723597972695</v>
      </c>
      <c r="R69" s="14"/>
      <c r="S69" s="1">
        <f>100-S73</f>
        <v>85.0496798926158</v>
      </c>
    </row>
    <row r="70" s="1" customFormat="1" spans="7:19">
      <c r="G70" s="1" t="s">
        <v>88</v>
      </c>
      <c r="H70" s="14">
        <v>65.2622767477636</v>
      </c>
      <c r="I70" s="14"/>
      <c r="J70" s="1">
        <f>J69-J71-J72</f>
        <v>46.6636956954318</v>
      </c>
      <c r="L70" s="14">
        <f>L69-L71-M71-L72</f>
        <v>60.9064450410308</v>
      </c>
      <c r="M70" s="14"/>
      <c r="N70" s="1">
        <f>N69-N71-N72</f>
        <v>68.3730749637169</v>
      </c>
      <c r="P70" s="1" t="s">
        <v>88</v>
      </c>
      <c r="Q70" s="14">
        <f>Q69-Q71-R71-Q72</f>
        <v>56.969482456682</v>
      </c>
      <c r="R70" s="14"/>
      <c r="S70" s="1">
        <f>S69-S71-S72</f>
        <v>63.852087733795</v>
      </c>
    </row>
    <row r="71" s="1" customFormat="1" spans="7:19">
      <c r="G71" s="1" t="s">
        <v>76</v>
      </c>
      <c r="H71" s="1">
        <v>4.75577956072527</v>
      </c>
      <c r="I71" s="1">
        <v>7.45653908305306</v>
      </c>
      <c r="J71" s="1">
        <v>13.8898401871169</v>
      </c>
      <c r="L71" s="1">
        <v>4.75577956072527</v>
      </c>
      <c r="M71" s="1">
        <v>7.45653908305306</v>
      </c>
      <c r="N71" s="1">
        <v>3.49353550978514</v>
      </c>
      <c r="P71" s="1" t="s">
        <v>76</v>
      </c>
      <c r="Q71" s="1">
        <v>11.7749630712725</v>
      </c>
      <c r="R71" s="1">
        <v>8.35073833900544</v>
      </c>
      <c r="S71" s="1">
        <v>12.0358914637725</v>
      </c>
    </row>
    <row r="72" s="1" customFormat="1" spans="7:19">
      <c r="G72" s="1" t="s">
        <v>13</v>
      </c>
      <c r="H72" s="14">
        <v>15.9955554392584</v>
      </c>
      <c r="I72" s="14"/>
      <c r="J72" s="1">
        <v>23.7096764971997</v>
      </c>
      <c r="L72" s="14">
        <v>4.50512267128566</v>
      </c>
      <c r="M72" s="14"/>
      <c r="N72" s="1">
        <v>6.18086022766236</v>
      </c>
      <c r="P72" s="1" t="s">
        <v>13</v>
      </c>
      <c r="Q72" s="14">
        <v>9.87717593030957</v>
      </c>
      <c r="R72" s="14"/>
      <c r="S72" s="1">
        <v>9.16170069504827</v>
      </c>
    </row>
    <row r="73" s="1" customFormat="1" spans="7:19">
      <c r="G73" s="1" t="s">
        <v>102</v>
      </c>
      <c r="H73" s="14">
        <v>18.1120043676653</v>
      </c>
      <c r="I73" s="14"/>
      <c r="J73" s="1">
        <v>15.7367876202516</v>
      </c>
      <c r="L73" s="14">
        <v>22.3761136439052</v>
      </c>
      <c r="M73" s="14"/>
      <c r="N73" s="1">
        <v>21.9525292988356</v>
      </c>
      <c r="P73" s="1" t="s">
        <v>102</v>
      </c>
      <c r="Q73" s="14">
        <v>13.0276402027305</v>
      </c>
      <c r="R73" s="14"/>
      <c r="S73" s="1">
        <v>14.9503201073842</v>
      </c>
    </row>
    <row r="75" s="1" customFormat="1" spans="8:20">
      <c r="H75" s="1" t="s">
        <v>86</v>
      </c>
      <c r="I75" s="1" t="s">
        <v>87</v>
      </c>
      <c r="J75" s="1" t="s">
        <v>85</v>
      </c>
      <c r="M75" s="1" t="s">
        <v>86</v>
      </c>
      <c r="N75" s="1" t="s">
        <v>87</v>
      </c>
      <c r="O75" s="1" t="s">
        <v>85</v>
      </c>
      <c r="R75" s="1" t="s">
        <v>86</v>
      </c>
      <c r="S75" s="1" t="s">
        <v>87</v>
      </c>
      <c r="T75" s="1" t="s">
        <v>85</v>
      </c>
    </row>
    <row r="76" s="1" customFormat="1" spans="7:20">
      <c r="G76" s="1" t="s">
        <v>88</v>
      </c>
      <c r="H76" s="1">
        <v>27.520614159517</v>
      </c>
      <c r="I76" s="1">
        <v>22.3958710176133</v>
      </c>
      <c r="J76" s="1">
        <v>46.6636956954318</v>
      </c>
      <c r="L76" s="1" t="s">
        <v>88</v>
      </c>
      <c r="M76" s="2">
        <v>39.5247941457623</v>
      </c>
      <c r="N76" s="1">
        <v>21.3816508952685</v>
      </c>
      <c r="O76" s="1">
        <v>59.8397382757079</v>
      </c>
      <c r="Q76" s="1" t="s">
        <v>88</v>
      </c>
      <c r="R76" s="1">
        <v>22.4756819992778</v>
      </c>
      <c r="S76" s="1">
        <v>34.4938004574041</v>
      </c>
      <c r="T76" s="1">
        <v>63.852087733795</v>
      </c>
    </row>
    <row r="77" s="1" customFormat="1" spans="7:21">
      <c r="G77" s="1" t="s">
        <v>76</v>
      </c>
      <c r="H77" s="1">
        <v>5.17900185160218</v>
      </c>
      <c r="I77" s="7">
        <v>10.7969531643438</v>
      </c>
      <c r="J77" s="1">
        <v>13.8898401871169</v>
      </c>
      <c r="L77" s="1" t="s">
        <v>76</v>
      </c>
      <c r="M77" s="1">
        <v>4.75577956072527</v>
      </c>
      <c r="N77" s="7">
        <v>7.45653908305306</v>
      </c>
      <c r="O77" s="1">
        <v>9.02687219779406</v>
      </c>
      <c r="Q77" s="1" t="s">
        <v>76</v>
      </c>
      <c r="R77" s="7">
        <v>11.7749630712725</v>
      </c>
      <c r="S77" s="1">
        <v>8.35073833900544</v>
      </c>
      <c r="T77" s="1">
        <v>12.0358914637725</v>
      </c>
      <c r="U77" s="23"/>
    </row>
    <row r="78" s="1" customFormat="1" spans="7:20">
      <c r="G78" s="1" t="s">
        <v>13</v>
      </c>
      <c r="H78" s="14">
        <v>15.9955554392584</v>
      </c>
      <c r="I78" s="14"/>
      <c r="J78" s="1">
        <v>23.7096764971997</v>
      </c>
      <c r="L78" s="1" t="s">
        <v>13</v>
      </c>
      <c r="M78" s="14">
        <v>4.50512267128566</v>
      </c>
      <c r="N78" s="14"/>
      <c r="O78" s="23">
        <v>9.18086022766236</v>
      </c>
      <c r="Q78" s="1" t="s">
        <v>13</v>
      </c>
      <c r="R78" s="14">
        <v>9.87717593030957</v>
      </c>
      <c r="S78" s="14"/>
      <c r="T78" s="23">
        <v>9.16170069504827</v>
      </c>
    </row>
    <row r="79" s="1" customFormat="1" spans="7:20">
      <c r="G79" s="1" t="s">
        <v>102</v>
      </c>
      <c r="H79" s="14">
        <v>18.1120043676653</v>
      </c>
      <c r="I79" s="14"/>
      <c r="J79" s="1">
        <v>15.7367876202516</v>
      </c>
      <c r="L79" s="1" t="s">
        <v>102</v>
      </c>
      <c r="M79" s="14">
        <v>22.3761136439052</v>
      </c>
      <c r="N79" s="14"/>
      <c r="O79" s="1">
        <v>21.9525292988356</v>
      </c>
      <c r="Q79" s="1" t="s">
        <v>102</v>
      </c>
      <c r="R79" s="14">
        <v>13.0276402027305</v>
      </c>
      <c r="S79" s="14"/>
      <c r="T79" s="1">
        <v>14.9503201073842</v>
      </c>
    </row>
    <row r="80" s="1" customFormat="1" spans="10:20">
      <c r="J80" s="1">
        <f>SUM(J76:J78)</f>
        <v>84.2632123797484</v>
      </c>
      <c r="O80" s="1">
        <f>SUM(O76:O78)</f>
        <v>78.0474707011643</v>
      </c>
      <c r="T80" s="1">
        <f>SUM(T76:T78)</f>
        <v>85.0496798926158</v>
      </c>
    </row>
    <row r="82" s="1" customFormat="1" spans="2:2">
      <c r="B82" s="1" t="s">
        <v>103</v>
      </c>
    </row>
    <row r="83" s="1" customFormat="1" spans="2:7">
      <c r="B83" s="1">
        <v>11.384565706477</v>
      </c>
      <c r="C83" s="1">
        <v>27.2396028318364</v>
      </c>
      <c r="D83" s="1">
        <v>16.7451282510445</v>
      </c>
      <c r="E83" s="1">
        <v>14.1840302283441</v>
      </c>
      <c r="F83" s="1">
        <v>12.7315084749028</v>
      </c>
      <c r="G83" s="1">
        <v>17.7151645073951</v>
      </c>
    </row>
    <row r="84" s="1" customFormat="1" spans="2:2">
      <c r="B84" s="1" t="s">
        <v>104</v>
      </c>
    </row>
    <row r="85" s="1" customFormat="1" spans="2:12">
      <c r="B85" s="3" t="s">
        <v>76</v>
      </c>
      <c r="C85" s="3" t="s">
        <v>78</v>
      </c>
      <c r="D85" s="4" t="s">
        <v>11</v>
      </c>
      <c r="E85" s="3" t="s">
        <v>12</v>
      </c>
      <c r="F85" s="5"/>
      <c r="G85" s="3" t="s">
        <v>76</v>
      </c>
      <c r="H85" s="3" t="s">
        <v>78</v>
      </c>
      <c r="I85" s="4" t="s">
        <v>11</v>
      </c>
      <c r="J85" s="3" t="s">
        <v>12</v>
      </c>
      <c r="K85" s="5" t="s">
        <v>13</v>
      </c>
      <c r="L85" s="5" t="s">
        <v>69</v>
      </c>
    </row>
    <row r="86" s="1" customFormat="1" spans="2:12">
      <c r="B86" s="1">
        <v>7.23658149453332</v>
      </c>
      <c r="C86" s="1">
        <v>11.5338642097232</v>
      </c>
      <c r="D86" s="1">
        <v>8.07041879539233</v>
      </c>
      <c r="E86" s="1">
        <v>10.2360804297369</v>
      </c>
      <c r="G86" s="1">
        <v>8.8680768621341</v>
      </c>
      <c r="H86" s="1">
        <v>10.5211530394302</v>
      </c>
      <c r="I86" s="1">
        <v>9.65220270614356</v>
      </c>
      <c r="J86" s="1">
        <v>5.91708504452157</v>
      </c>
      <c r="K86" s="1">
        <v>10.1259513469512</v>
      </c>
      <c r="L86" s="1">
        <v>17.8385860714337</v>
      </c>
    </row>
    <row r="89" s="1" customFormat="1" spans="5:14">
      <c r="E89" s="1">
        <v>5.17900185160218</v>
      </c>
      <c r="F89" s="9">
        <v>11.3969896600926</v>
      </c>
      <c r="G89" s="1">
        <v>10.0865414798183</v>
      </c>
      <c r="H89" s="1">
        <v>6.0370830196061</v>
      </c>
      <c r="I89" s="7">
        <v>10.7969531643438</v>
      </c>
      <c r="J89" s="1">
        <v>4.32930571347753</v>
      </c>
      <c r="K89" s="1">
        <v>9.47344558202558</v>
      </c>
      <c r="L89" s="1">
        <v>8.5931197221102</v>
      </c>
      <c r="M89" s="9">
        <v>15.9955554392584</v>
      </c>
      <c r="N89" s="1">
        <v>18.1120043676653</v>
      </c>
    </row>
    <row r="90" s="1" customFormat="1" spans="5:14">
      <c r="E90" s="2">
        <v>4.75577956072527</v>
      </c>
      <c r="F90" s="7">
        <v>14.7303910703323</v>
      </c>
      <c r="G90" s="2">
        <v>3.6551744429477</v>
      </c>
      <c r="H90" s="7">
        <v>21.1392286324823</v>
      </c>
      <c r="I90" s="7">
        <v>7.45653908305306</v>
      </c>
      <c r="J90" s="7">
        <v>9.43220164671689</v>
      </c>
      <c r="K90" s="2">
        <v>6.30368171500449</v>
      </c>
      <c r="L90" s="2">
        <v>5.64576753354708</v>
      </c>
      <c r="M90" s="2">
        <v>4.50512267128566</v>
      </c>
      <c r="N90" s="2">
        <v>22.3761136439052</v>
      </c>
    </row>
    <row r="91" s="1" customFormat="1" spans="5:14">
      <c r="E91" s="7">
        <v>11.7749630712725</v>
      </c>
      <c r="F91" s="1">
        <v>8.47421189874459</v>
      </c>
      <c r="G91" s="2">
        <v>10.469540463411</v>
      </c>
      <c r="H91" s="1">
        <v>3.53192963712225</v>
      </c>
      <c r="I91" s="1">
        <v>8.35073833900544</v>
      </c>
      <c r="J91" s="7">
        <v>17.8019517580961</v>
      </c>
      <c r="K91" s="7">
        <v>13.1794808214006</v>
      </c>
      <c r="L91" s="1">
        <v>3.51236787790743</v>
      </c>
      <c r="M91" s="1">
        <v>9.87717593030957</v>
      </c>
      <c r="N91" s="1">
        <v>13.0276402027305</v>
      </c>
    </row>
    <row r="92" s="1" customFormat="1" spans="5:15">
      <c r="E92" s="1">
        <f t="shared" ref="E92:N92" si="10">AVERAGE(E89:E91)</f>
        <v>7.23658149453332</v>
      </c>
      <c r="F92" s="1">
        <f t="shared" si="10"/>
        <v>11.5338642097232</v>
      </c>
      <c r="G92" s="1">
        <f t="shared" si="10"/>
        <v>8.07041879539233</v>
      </c>
      <c r="H92" s="1">
        <f t="shared" si="10"/>
        <v>10.2360804297369</v>
      </c>
      <c r="I92" s="1">
        <f t="shared" si="10"/>
        <v>8.8680768621341</v>
      </c>
      <c r="J92" s="1">
        <f t="shared" si="10"/>
        <v>10.5211530394302</v>
      </c>
      <c r="K92" s="1">
        <f t="shared" si="10"/>
        <v>9.65220270614356</v>
      </c>
      <c r="L92" s="1">
        <f t="shared" si="10"/>
        <v>5.91708504452157</v>
      </c>
      <c r="M92" s="1">
        <f t="shared" si="10"/>
        <v>10.1259513469512</v>
      </c>
      <c r="N92" s="1">
        <f t="shared" si="10"/>
        <v>17.8385860714337</v>
      </c>
      <c r="O92" s="1">
        <f>SUM(E92:N92)</f>
        <v>100</v>
      </c>
    </row>
  </sheetData>
  <mergeCells count="24">
    <mergeCell ref="K16:O16"/>
    <mergeCell ref="K38:O38"/>
    <mergeCell ref="K63:O63"/>
    <mergeCell ref="H68:I68"/>
    <mergeCell ref="L68:M68"/>
    <mergeCell ref="Q68:R68"/>
    <mergeCell ref="H69:I69"/>
    <mergeCell ref="L69:M69"/>
    <mergeCell ref="Q69:R69"/>
    <mergeCell ref="H70:I70"/>
    <mergeCell ref="L70:M70"/>
    <mergeCell ref="Q70:R70"/>
    <mergeCell ref="H72:I72"/>
    <mergeCell ref="L72:M72"/>
    <mergeCell ref="Q72:R72"/>
    <mergeCell ref="H73:I73"/>
    <mergeCell ref="L73:M73"/>
    <mergeCell ref="Q73:R73"/>
    <mergeCell ref="H78:I78"/>
    <mergeCell ref="M78:N78"/>
    <mergeCell ref="R78:S78"/>
    <mergeCell ref="H79:I79"/>
    <mergeCell ref="M79:N79"/>
    <mergeCell ref="R79:S7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8"/>
  <sheetViews>
    <sheetView workbookViewId="0">
      <selection activeCell="A1" sqref="A1:M147"/>
    </sheetView>
  </sheetViews>
  <sheetFormatPr defaultColWidth="8.72727272727273" defaultRowHeight="14"/>
  <sheetData>
    <row r="1" spans="1:13">
      <c r="A1" s="4" t="s">
        <v>0</v>
      </c>
      <c r="B1" s="14" t="s">
        <v>65</v>
      </c>
      <c r="C1" s="15" t="s">
        <v>2</v>
      </c>
      <c r="D1" s="16"/>
      <c r="E1" s="3" t="s">
        <v>3</v>
      </c>
      <c r="F1" s="3"/>
      <c r="G1" s="3" t="s">
        <v>3</v>
      </c>
      <c r="H1" s="3"/>
      <c r="I1" s="3" t="s">
        <v>3</v>
      </c>
      <c r="J1" s="5"/>
      <c r="K1" s="3" t="s">
        <v>3</v>
      </c>
      <c r="L1" s="1"/>
      <c r="M1" s="3" t="s">
        <v>3</v>
      </c>
    </row>
    <row r="2" spans="1:13">
      <c r="A2" s="17" t="s">
        <v>6</v>
      </c>
      <c r="B2" s="18" t="s">
        <v>71</v>
      </c>
      <c r="C2" s="18" t="s">
        <v>8</v>
      </c>
      <c r="D2" s="18" t="s">
        <v>9</v>
      </c>
      <c r="E2" s="6">
        <v>-1.47413074841665</v>
      </c>
      <c r="F2" s="18" t="s">
        <v>10</v>
      </c>
      <c r="G2" s="6">
        <v>-4.38740584556283</v>
      </c>
      <c r="H2" s="18" t="s">
        <v>11</v>
      </c>
      <c r="I2" s="6">
        <v>-7.09255166110446</v>
      </c>
      <c r="J2" s="1" t="s">
        <v>12</v>
      </c>
      <c r="K2" s="6">
        <v>0.407343537621702</v>
      </c>
      <c r="L2" s="1" t="s">
        <v>13</v>
      </c>
      <c r="M2" s="6">
        <v>-14.5738773734602</v>
      </c>
    </row>
    <row r="3" spans="1:13">
      <c r="A3" s="17" t="s">
        <v>6</v>
      </c>
      <c r="B3" s="18" t="s">
        <v>71</v>
      </c>
      <c r="C3" s="18" t="s">
        <v>14</v>
      </c>
      <c r="D3" s="18" t="s">
        <v>9</v>
      </c>
      <c r="E3" s="6">
        <v>8.34067033290304</v>
      </c>
      <c r="F3" s="18" t="s">
        <v>10</v>
      </c>
      <c r="G3" s="6">
        <v>-0.921080143095955</v>
      </c>
      <c r="H3" s="18" t="s">
        <v>11</v>
      </c>
      <c r="I3" s="6">
        <v>-3.44690927888305</v>
      </c>
      <c r="J3" s="1" t="s">
        <v>12</v>
      </c>
      <c r="K3" s="6">
        <v>-0.294503931831324</v>
      </c>
      <c r="L3" s="1" t="s">
        <v>13</v>
      </c>
      <c r="M3" s="6">
        <v>-14.5738773734602</v>
      </c>
    </row>
    <row r="4" spans="1:13">
      <c r="A4" s="17" t="s">
        <v>6</v>
      </c>
      <c r="B4" s="18" t="s">
        <v>71</v>
      </c>
      <c r="C4" s="18" t="s">
        <v>15</v>
      </c>
      <c r="D4" s="18" t="s">
        <v>9</v>
      </c>
      <c r="E4" s="6">
        <v>2.60343450550386</v>
      </c>
      <c r="F4" s="18" t="s">
        <v>10</v>
      </c>
      <c r="G4" s="6">
        <v>0.316303995072863</v>
      </c>
      <c r="H4" s="18" t="s">
        <v>11</v>
      </c>
      <c r="I4" s="6">
        <v>-5.13156803958751</v>
      </c>
      <c r="J4" s="1" t="s">
        <v>12</v>
      </c>
      <c r="K4" s="6">
        <v>-2.19704686503082</v>
      </c>
      <c r="L4" s="1" t="s">
        <v>13</v>
      </c>
      <c r="M4" s="6">
        <v>-10.743309503626</v>
      </c>
    </row>
    <row r="5" spans="1:13">
      <c r="A5" s="1" t="s">
        <v>16</v>
      </c>
      <c r="B5" s="18" t="s">
        <v>71</v>
      </c>
      <c r="C5" s="18" t="s">
        <v>8</v>
      </c>
      <c r="D5" s="18" t="s">
        <v>9</v>
      </c>
      <c r="E5" s="6">
        <v>-1.69352264679345</v>
      </c>
      <c r="F5" s="18" t="s">
        <v>10</v>
      </c>
      <c r="G5" s="6">
        <v>0.235430419987866</v>
      </c>
      <c r="H5" s="18" t="s">
        <v>11</v>
      </c>
      <c r="I5" s="6">
        <v>-3.6662213677866</v>
      </c>
      <c r="J5" s="1" t="s">
        <v>12</v>
      </c>
      <c r="K5" s="6">
        <v>-1.38838300823855</v>
      </c>
      <c r="L5" s="1" t="s">
        <v>13</v>
      </c>
      <c r="M5" s="6">
        <v>0.965660124079901</v>
      </c>
    </row>
    <row r="6" spans="1:13">
      <c r="A6" s="1" t="s">
        <v>16</v>
      </c>
      <c r="B6" s="18" t="s">
        <v>71</v>
      </c>
      <c r="C6" s="18" t="s">
        <v>14</v>
      </c>
      <c r="D6" s="18" t="s">
        <v>9</v>
      </c>
      <c r="E6" s="6">
        <v>-0.951747356966332</v>
      </c>
      <c r="F6" s="18" t="s">
        <v>10</v>
      </c>
      <c r="G6" s="6">
        <v>1.08472647707278</v>
      </c>
      <c r="H6" s="18" t="s">
        <v>11</v>
      </c>
      <c r="I6" s="6">
        <v>-3.0848380561631</v>
      </c>
      <c r="J6" s="1" t="s">
        <v>12</v>
      </c>
      <c r="K6" s="6">
        <v>1.34380382343747</v>
      </c>
      <c r="L6" s="1" t="s">
        <v>13</v>
      </c>
      <c r="M6" s="6">
        <v>0.965660124079901</v>
      </c>
    </row>
    <row r="7" spans="1:13">
      <c r="A7" s="1" t="s">
        <v>16</v>
      </c>
      <c r="B7" s="18" t="s">
        <v>71</v>
      </c>
      <c r="C7" s="18" t="s">
        <v>15</v>
      </c>
      <c r="D7" s="18" t="s">
        <v>9</v>
      </c>
      <c r="E7" s="6">
        <v>-2.98001748918142</v>
      </c>
      <c r="F7" s="18" t="s">
        <v>10</v>
      </c>
      <c r="G7" s="6">
        <v>0.857024937887025</v>
      </c>
      <c r="H7" s="18" t="s">
        <v>11</v>
      </c>
      <c r="I7" s="6">
        <v>-4.81065185731822</v>
      </c>
      <c r="J7" s="1" t="s">
        <v>12</v>
      </c>
      <c r="K7" s="6">
        <v>-0.864012847828319</v>
      </c>
      <c r="L7" s="1" t="s">
        <v>13</v>
      </c>
      <c r="M7" s="6">
        <v>1.89249815467275</v>
      </c>
    </row>
    <row r="8" spans="1:13">
      <c r="A8" s="1" t="s">
        <v>17</v>
      </c>
      <c r="B8" s="18" t="s">
        <v>71</v>
      </c>
      <c r="C8" s="18" t="s">
        <v>8</v>
      </c>
      <c r="D8" s="18" t="s">
        <v>9</v>
      </c>
      <c r="E8" s="6">
        <v>2.10074646943706</v>
      </c>
      <c r="F8" s="18" t="s">
        <v>10</v>
      </c>
      <c r="G8" s="6">
        <v>-1.59304677228393</v>
      </c>
      <c r="H8" s="18" t="s">
        <v>11</v>
      </c>
      <c r="I8" s="6">
        <v>-1.51657095237346</v>
      </c>
      <c r="J8" s="1" t="s">
        <v>12</v>
      </c>
      <c r="K8" s="6">
        <v>6.37693146635865</v>
      </c>
      <c r="L8" s="1" t="s">
        <v>13</v>
      </c>
      <c r="M8" s="6">
        <v>-7.82658214229189</v>
      </c>
    </row>
    <row r="9" spans="1:13">
      <c r="A9" s="1" t="s">
        <v>17</v>
      </c>
      <c r="B9" s="18" t="s">
        <v>71</v>
      </c>
      <c r="C9" s="18" t="s">
        <v>14</v>
      </c>
      <c r="D9" s="18" t="s">
        <v>9</v>
      </c>
      <c r="E9" s="6">
        <v>8.20478242867914</v>
      </c>
      <c r="F9" s="18" t="s">
        <v>10</v>
      </c>
      <c r="G9" s="6">
        <v>1.26207354990892</v>
      </c>
      <c r="H9" s="18" t="s">
        <v>11</v>
      </c>
      <c r="I9" s="6">
        <v>5.71606238467242</v>
      </c>
      <c r="J9" s="1" t="s">
        <v>12</v>
      </c>
      <c r="K9" s="6">
        <v>-1.28492377163383</v>
      </c>
      <c r="L9" s="1" t="s">
        <v>13</v>
      </c>
      <c r="M9" s="6">
        <v>-7.82658214229189</v>
      </c>
    </row>
    <row r="10" spans="1:13">
      <c r="A10" s="1" t="s">
        <v>17</v>
      </c>
      <c r="B10" s="18" t="s">
        <v>71</v>
      </c>
      <c r="C10" s="18" t="s">
        <v>15</v>
      </c>
      <c r="D10" s="18" t="s">
        <v>9</v>
      </c>
      <c r="E10" s="6">
        <v>7.42466958010446</v>
      </c>
      <c r="F10" s="18" t="s">
        <v>10</v>
      </c>
      <c r="G10" s="6">
        <v>2.62683453990513</v>
      </c>
      <c r="H10" s="18" t="s">
        <v>11</v>
      </c>
      <c r="I10" s="6">
        <v>2.047852413287</v>
      </c>
      <c r="J10" s="1" t="s">
        <v>12</v>
      </c>
      <c r="K10" s="6">
        <v>0.432521203815684</v>
      </c>
      <c r="L10" s="1" t="s">
        <v>13</v>
      </c>
      <c r="M10" s="6">
        <v>-8.82367238981921</v>
      </c>
    </row>
    <row r="11" spans="1:13">
      <c r="A11" s="1" t="s">
        <v>18</v>
      </c>
      <c r="B11" s="18" t="s">
        <v>71</v>
      </c>
      <c r="C11" s="18" t="s">
        <v>8</v>
      </c>
      <c r="D11" s="18" t="s">
        <v>9</v>
      </c>
      <c r="E11" s="6">
        <v>0.0937443996057335</v>
      </c>
      <c r="F11" s="18" t="s">
        <v>10</v>
      </c>
      <c r="G11" s="6">
        <v>0.130861691191736</v>
      </c>
      <c r="H11" s="18" t="s">
        <v>11</v>
      </c>
      <c r="I11" s="6">
        <v>-1.33251554857215</v>
      </c>
      <c r="J11" s="1" t="s">
        <v>12</v>
      </c>
      <c r="K11" s="6">
        <v>-0.329630479287353</v>
      </c>
      <c r="L11" s="1" t="s">
        <v>13</v>
      </c>
      <c r="M11" s="6">
        <v>1.08390613225438</v>
      </c>
    </row>
    <row r="12" spans="1:13">
      <c r="A12" s="1" t="s">
        <v>18</v>
      </c>
      <c r="B12" s="18" t="s">
        <v>71</v>
      </c>
      <c r="C12" s="18" t="s">
        <v>14</v>
      </c>
      <c r="D12" s="18" t="s">
        <v>9</v>
      </c>
      <c r="E12" s="6">
        <v>0.313397951921127</v>
      </c>
      <c r="F12" s="18" t="s">
        <v>10</v>
      </c>
      <c r="G12" s="6">
        <v>0.161242275304936</v>
      </c>
      <c r="H12" s="18" t="s">
        <v>11</v>
      </c>
      <c r="I12" s="6">
        <v>-0.601388018896924</v>
      </c>
      <c r="J12" s="1" t="s">
        <v>12</v>
      </c>
      <c r="K12" s="6">
        <v>-0.0613048258850068</v>
      </c>
      <c r="L12" s="1" t="s">
        <v>13</v>
      </c>
      <c r="M12" s="6">
        <v>1.08390613225438</v>
      </c>
    </row>
    <row r="13" spans="1:13">
      <c r="A13" s="1" t="s">
        <v>18</v>
      </c>
      <c r="B13" s="18" t="s">
        <v>71</v>
      </c>
      <c r="C13" s="18" t="s">
        <v>15</v>
      </c>
      <c r="D13" s="18" t="s">
        <v>9</v>
      </c>
      <c r="E13" s="6">
        <v>0.262681922682551</v>
      </c>
      <c r="F13" s="18" t="s">
        <v>10</v>
      </c>
      <c r="G13" s="6">
        <v>0.376313558163229</v>
      </c>
      <c r="H13" s="18" t="s">
        <v>11</v>
      </c>
      <c r="I13" s="6">
        <v>-1.45917505954186</v>
      </c>
      <c r="J13" s="1" t="s">
        <v>12</v>
      </c>
      <c r="K13" s="6">
        <v>-0.472704294113555</v>
      </c>
      <c r="L13" s="1" t="s">
        <v>13</v>
      </c>
      <c r="M13" s="6">
        <v>1.26104263399506</v>
      </c>
    </row>
    <row r="14" spans="1:13">
      <c r="A14" s="17" t="s">
        <v>19</v>
      </c>
      <c r="B14" s="18" t="s">
        <v>71</v>
      </c>
      <c r="C14" s="18" t="s">
        <v>8</v>
      </c>
      <c r="D14" s="18" t="s">
        <v>9</v>
      </c>
      <c r="E14" s="6">
        <v>-6.8879390006426</v>
      </c>
      <c r="F14" s="18" t="s">
        <v>10</v>
      </c>
      <c r="G14" s="6">
        <v>13.3658744153629</v>
      </c>
      <c r="H14" s="18" t="s">
        <v>11</v>
      </c>
      <c r="I14" s="6">
        <v>8.66992115095722</v>
      </c>
      <c r="J14" s="1" t="s">
        <v>12</v>
      </c>
      <c r="K14" s="6">
        <v>1.9749962056917</v>
      </c>
      <c r="L14" s="1" t="s">
        <v>13</v>
      </c>
      <c r="M14" s="6">
        <v>0.221035769322727</v>
      </c>
    </row>
    <row r="15" spans="1:13">
      <c r="A15" s="17" t="s">
        <v>19</v>
      </c>
      <c r="B15" s="18" t="s">
        <v>71</v>
      </c>
      <c r="C15" s="18" t="s">
        <v>14</v>
      </c>
      <c r="D15" s="18" t="s">
        <v>9</v>
      </c>
      <c r="E15" s="6">
        <v>3.82880231362043</v>
      </c>
      <c r="F15" s="18" t="s">
        <v>10</v>
      </c>
      <c r="G15" s="6">
        <v>-3.35784733854368</v>
      </c>
      <c r="H15" s="18" t="s">
        <v>11</v>
      </c>
      <c r="I15" s="6">
        <v>-4.97074501245433</v>
      </c>
      <c r="J15" s="1" t="s">
        <v>12</v>
      </c>
      <c r="K15" s="6">
        <v>9.18304631234242</v>
      </c>
      <c r="L15" s="1" t="s">
        <v>13</v>
      </c>
      <c r="M15" s="6">
        <v>0.221035769322727</v>
      </c>
    </row>
    <row r="16" spans="1:13">
      <c r="A16" s="17" t="s">
        <v>19</v>
      </c>
      <c r="B16" s="18" t="s">
        <v>71</v>
      </c>
      <c r="C16" s="18" t="s">
        <v>15</v>
      </c>
      <c r="D16" s="18" t="s">
        <v>9</v>
      </c>
      <c r="E16" s="6">
        <v>-2.24275501497207</v>
      </c>
      <c r="F16" s="18" t="s">
        <v>10</v>
      </c>
      <c r="G16" s="6">
        <v>4.17889449391254</v>
      </c>
      <c r="H16" s="18" t="s">
        <v>11</v>
      </c>
      <c r="I16" s="6">
        <v>2.22029697830306</v>
      </c>
      <c r="J16" s="1" t="s">
        <v>12</v>
      </c>
      <c r="K16" s="6">
        <v>4.29791531891338</v>
      </c>
      <c r="L16" s="1" t="s">
        <v>13</v>
      </c>
      <c r="M16" s="6">
        <v>0.875034407972874</v>
      </c>
    </row>
    <row r="17" spans="1:13">
      <c r="A17" s="19" t="s">
        <v>20</v>
      </c>
      <c r="B17" s="18" t="s">
        <v>71</v>
      </c>
      <c r="C17" s="20" t="s">
        <v>8</v>
      </c>
      <c r="D17" s="20" t="s">
        <v>9</v>
      </c>
      <c r="E17" s="6">
        <v>-0.471917493553144</v>
      </c>
      <c r="F17" s="18" t="s">
        <v>10</v>
      </c>
      <c r="G17" s="6">
        <v>7.52112347222136</v>
      </c>
      <c r="H17" s="18" t="s">
        <v>11</v>
      </c>
      <c r="I17" s="6">
        <v>4.85205161765271</v>
      </c>
      <c r="J17" s="1" t="s">
        <v>12</v>
      </c>
      <c r="K17" s="6">
        <v>-2.79829041687592</v>
      </c>
      <c r="L17" s="1" t="s">
        <v>13</v>
      </c>
      <c r="M17" s="6">
        <v>2.66031457588877</v>
      </c>
    </row>
    <row r="18" spans="1:13">
      <c r="A18" s="19" t="s">
        <v>20</v>
      </c>
      <c r="B18" s="18" t="s">
        <v>71</v>
      </c>
      <c r="C18" s="20" t="s">
        <v>14</v>
      </c>
      <c r="D18" s="20" t="s">
        <v>9</v>
      </c>
      <c r="E18" s="6">
        <v>-1.74255636150041</v>
      </c>
      <c r="F18" s="18" t="s">
        <v>10</v>
      </c>
      <c r="G18" s="6">
        <v>-0.808796627139782</v>
      </c>
      <c r="H18" s="18" t="s">
        <v>11</v>
      </c>
      <c r="I18" s="6">
        <v>-4.62963200198029</v>
      </c>
      <c r="J18" s="1" t="s">
        <v>12</v>
      </c>
      <c r="K18" s="6">
        <v>8.54674600379136</v>
      </c>
      <c r="L18" s="1" t="s">
        <v>13</v>
      </c>
      <c r="M18" s="6">
        <v>2.66031457588877</v>
      </c>
    </row>
    <row r="19" spans="1:13">
      <c r="A19" s="19" t="s">
        <v>20</v>
      </c>
      <c r="B19" s="18" t="s">
        <v>71</v>
      </c>
      <c r="C19" s="20" t="s">
        <v>15</v>
      </c>
      <c r="D19" s="20" t="s">
        <v>9</v>
      </c>
      <c r="E19" s="6">
        <v>1.16943225108349</v>
      </c>
      <c r="F19" s="18" t="s">
        <v>10</v>
      </c>
      <c r="G19" s="6">
        <v>0.805982376068996</v>
      </c>
      <c r="H19" s="18" t="s">
        <v>11</v>
      </c>
      <c r="I19" s="6">
        <v>-2.28540517524547</v>
      </c>
      <c r="J19" s="1" t="s">
        <v>12</v>
      </c>
      <c r="K19" s="6">
        <v>1.5104508116174</v>
      </c>
      <c r="L19" s="1" t="s">
        <v>13</v>
      </c>
      <c r="M19" s="6">
        <v>1.13104919593737</v>
      </c>
    </row>
    <row r="20" spans="1:13">
      <c r="A20" s="17" t="s">
        <v>21</v>
      </c>
      <c r="B20" s="18" t="s">
        <v>71</v>
      </c>
      <c r="C20" s="18" t="s">
        <v>8</v>
      </c>
      <c r="D20" s="18" t="s">
        <v>9</v>
      </c>
      <c r="E20" s="6">
        <v>0.977492472997128</v>
      </c>
      <c r="F20" s="18" t="s">
        <v>10</v>
      </c>
      <c r="G20" s="6">
        <v>1.2614215576646</v>
      </c>
      <c r="H20" s="18" t="s">
        <v>11</v>
      </c>
      <c r="I20" s="6">
        <v>0.150847941561318</v>
      </c>
      <c r="J20" s="1" t="s">
        <v>12</v>
      </c>
      <c r="K20" s="6">
        <v>-1.7619225868816</v>
      </c>
      <c r="L20" s="1" t="s">
        <v>13</v>
      </c>
      <c r="M20" s="6">
        <v>1.99299862312461</v>
      </c>
    </row>
    <row r="21" spans="1:13">
      <c r="A21" s="17" t="s">
        <v>21</v>
      </c>
      <c r="B21" s="18" t="s">
        <v>71</v>
      </c>
      <c r="C21" s="18" t="s">
        <v>14</v>
      </c>
      <c r="D21" s="18" t="s">
        <v>9</v>
      </c>
      <c r="E21" s="6">
        <v>-2.1848577846182</v>
      </c>
      <c r="F21" s="18" t="s">
        <v>10</v>
      </c>
      <c r="G21" s="6">
        <v>-0.731609289911226</v>
      </c>
      <c r="H21" s="18" t="s">
        <v>11</v>
      </c>
      <c r="I21" s="6">
        <v>1.80691892424651</v>
      </c>
      <c r="J21" s="1" t="s">
        <v>12</v>
      </c>
      <c r="K21" s="6">
        <v>1.14563359939187</v>
      </c>
      <c r="L21" s="1" t="s">
        <v>13</v>
      </c>
      <c r="M21" s="6">
        <v>1.99299862312461</v>
      </c>
    </row>
    <row r="22" spans="1:13">
      <c r="A22" s="17" t="s">
        <v>21</v>
      </c>
      <c r="B22" s="18" t="s">
        <v>71</v>
      </c>
      <c r="C22" s="18" t="s">
        <v>15</v>
      </c>
      <c r="D22" s="18" t="s">
        <v>9</v>
      </c>
      <c r="E22" s="6">
        <v>2.94385065010053</v>
      </c>
      <c r="F22" s="18" t="s">
        <v>10</v>
      </c>
      <c r="G22" s="6">
        <v>-3.8065007180002</v>
      </c>
      <c r="H22" s="18" t="s">
        <v>11</v>
      </c>
      <c r="I22" s="6">
        <v>1.87210780424542</v>
      </c>
      <c r="J22" s="1" t="s">
        <v>12</v>
      </c>
      <c r="K22" s="6">
        <v>-1.99980753943232</v>
      </c>
      <c r="L22" s="1" t="s">
        <v>13</v>
      </c>
      <c r="M22" s="6">
        <v>2.58692438084139</v>
      </c>
    </row>
    <row r="23" spans="1:13">
      <c r="A23" s="17" t="s">
        <v>22</v>
      </c>
      <c r="B23" s="18" t="s">
        <v>71</v>
      </c>
      <c r="C23" s="18" t="s">
        <v>8</v>
      </c>
      <c r="D23" s="18" t="s">
        <v>9</v>
      </c>
      <c r="E23" s="6">
        <v>0.977492472997128</v>
      </c>
      <c r="F23" s="18" t="s">
        <v>10</v>
      </c>
      <c r="G23" s="6">
        <v>1.2614215576646</v>
      </c>
      <c r="H23" s="18" t="s">
        <v>11</v>
      </c>
      <c r="I23" s="6">
        <v>0.150847941561318</v>
      </c>
      <c r="J23" s="1" t="s">
        <v>12</v>
      </c>
      <c r="K23" s="6">
        <v>-1.7619225868816</v>
      </c>
      <c r="L23" s="1" t="s">
        <v>13</v>
      </c>
      <c r="M23" s="6">
        <v>1.99299862312461</v>
      </c>
    </row>
    <row r="24" spans="1:13">
      <c r="A24" s="17" t="s">
        <v>22</v>
      </c>
      <c r="B24" s="18" t="s">
        <v>71</v>
      </c>
      <c r="C24" s="18" t="s">
        <v>14</v>
      </c>
      <c r="D24" s="18" t="s">
        <v>9</v>
      </c>
      <c r="E24" s="6">
        <v>-2.1848577846182</v>
      </c>
      <c r="F24" s="18" t="s">
        <v>10</v>
      </c>
      <c r="G24" s="6">
        <v>-0.731609289911226</v>
      </c>
      <c r="H24" s="18" t="s">
        <v>11</v>
      </c>
      <c r="I24" s="6">
        <v>1.80691892424651</v>
      </c>
      <c r="J24" s="1" t="s">
        <v>12</v>
      </c>
      <c r="K24" s="6">
        <v>1.14563359939187</v>
      </c>
      <c r="L24" s="1" t="s">
        <v>13</v>
      </c>
      <c r="M24" s="6">
        <v>1.99299862312461</v>
      </c>
    </row>
    <row r="25" spans="1:13">
      <c r="A25" s="17" t="s">
        <v>22</v>
      </c>
      <c r="B25" s="18" t="s">
        <v>71</v>
      </c>
      <c r="C25" s="18" t="s">
        <v>15</v>
      </c>
      <c r="D25" s="18" t="s">
        <v>9</v>
      </c>
      <c r="E25" s="6">
        <v>2.94385065010053</v>
      </c>
      <c r="F25" s="18" t="s">
        <v>10</v>
      </c>
      <c r="G25" s="6">
        <v>-3.8065007180002</v>
      </c>
      <c r="H25" s="18" t="s">
        <v>11</v>
      </c>
      <c r="I25" s="6">
        <v>1.87210780424542</v>
      </c>
      <c r="J25" s="1" t="s">
        <v>12</v>
      </c>
      <c r="K25" s="6">
        <v>-1.99980753943232</v>
      </c>
      <c r="L25" s="1" t="s">
        <v>13</v>
      </c>
      <c r="M25" s="6">
        <v>2.58692438084139</v>
      </c>
    </row>
    <row r="26" spans="1:13">
      <c r="A26" s="19" t="s">
        <v>23</v>
      </c>
      <c r="B26" s="18" t="s">
        <v>71</v>
      </c>
      <c r="C26" s="18" t="s">
        <v>8</v>
      </c>
      <c r="D26" s="18" t="s">
        <v>9</v>
      </c>
      <c r="E26" s="6">
        <v>2.78407636838837</v>
      </c>
      <c r="F26" s="18" t="s">
        <v>10</v>
      </c>
      <c r="G26" s="6">
        <v>1.15527458586253</v>
      </c>
      <c r="H26" s="18" t="s">
        <v>11</v>
      </c>
      <c r="I26" s="6">
        <v>-6.66585806998655</v>
      </c>
      <c r="J26" s="1" t="s">
        <v>12</v>
      </c>
      <c r="K26" s="6">
        <v>2.28216384179729</v>
      </c>
      <c r="L26" s="1" t="s">
        <v>13</v>
      </c>
      <c r="M26" s="6">
        <v>4.53676117703726</v>
      </c>
    </row>
    <row r="27" spans="1:13">
      <c r="A27" s="19" t="s">
        <v>23</v>
      </c>
      <c r="B27" s="18" t="s">
        <v>71</v>
      </c>
      <c r="C27" s="18" t="s">
        <v>14</v>
      </c>
      <c r="D27" s="18" t="s">
        <v>9</v>
      </c>
      <c r="E27" s="6">
        <v>-4.87929162306003</v>
      </c>
      <c r="F27" s="18" t="s">
        <v>10</v>
      </c>
      <c r="G27" s="6">
        <v>1.87946228505974</v>
      </c>
      <c r="H27" s="18" t="s">
        <v>11</v>
      </c>
      <c r="I27" s="6">
        <v>-2.58649935685894</v>
      </c>
      <c r="J27" s="1" t="s">
        <v>12</v>
      </c>
      <c r="K27" s="6">
        <v>1.5940699736264</v>
      </c>
      <c r="L27" s="1" t="s">
        <v>13</v>
      </c>
      <c r="M27" s="6">
        <v>4.53676117703726</v>
      </c>
    </row>
    <row r="28" spans="1:13">
      <c r="A28" s="19" t="s">
        <v>23</v>
      </c>
      <c r="B28" s="18" t="s">
        <v>71</v>
      </c>
      <c r="C28" s="18" t="s">
        <v>15</v>
      </c>
      <c r="D28" s="18" t="s">
        <v>9</v>
      </c>
      <c r="E28" s="6">
        <v>-0.976154477874545</v>
      </c>
      <c r="F28" s="18" t="s">
        <v>10</v>
      </c>
      <c r="G28" s="6">
        <v>-0.0504694276271403</v>
      </c>
      <c r="H28" s="18" t="s">
        <v>11</v>
      </c>
      <c r="I28" s="6">
        <v>-3.97244444494944</v>
      </c>
      <c r="J28" s="1" t="s">
        <v>12</v>
      </c>
      <c r="K28" s="6">
        <v>0.918397441135461</v>
      </c>
      <c r="L28" s="1" t="s">
        <v>13</v>
      </c>
      <c r="M28" s="6">
        <v>5.90675722801151</v>
      </c>
    </row>
    <row r="29" spans="1:13">
      <c r="A29" s="17" t="s">
        <v>24</v>
      </c>
      <c r="B29" s="18" t="s">
        <v>71</v>
      </c>
      <c r="C29" s="18" t="s">
        <v>8</v>
      </c>
      <c r="D29" s="18" t="s">
        <v>9</v>
      </c>
      <c r="E29" s="6">
        <v>-2.53036153761099</v>
      </c>
      <c r="F29" s="18" t="s">
        <v>10</v>
      </c>
      <c r="G29" s="6">
        <v>-2.41875820764584</v>
      </c>
      <c r="H29" s="18" t="s">
        <v>11</v>
      </c>
      <c r="I29" s="6">
        <v>2.8445135887784</v>
      </c>
      <c r="J29" s="1" t="s">
        <v>12</v>
      </c>
      <c r="K29" s="6">
        <v>-0.159714677355602</v>
      </c>
      <c r="L29" s="1" t="s">
        <v>13</v>
      </c>
      <c r="M29" s="6">
        <v>0.916666349882351</v>
      </c>
    </row>
    <row r="30" spans="1:13">
      <c r="A30" s="17" t="s">
        <v>24</v>
      </c>
      <c r="B30" s="18" t="s">
        <v>71</v>
      </c>
      <c r="C30" s="18" t="s">
        <v>14</v>
      </c>
      <c r="D30" s="18" t="s">
        <v>9</v>
      </c>
      <c r="E30" s="6">
        <v>5.57326539353473</v>
      </c>
      <c r="F30" s="18" t="s">
        <v>10</v>
      </c>
      <c r="G30" s="6">
        <v>-2.29242063049508</v>
      </c>
      <c r="H30" s="18" t="s">
        <v>11</v>
      </c>
      <c r="I30" s="6">
        <v>1.01631186537221</v>
      </c>
      <c r="J30" s="1" t="s">
        <v>12</v>
      </c>
      <c r="K30" s="6">
        <v>1.50478019856865</v>
      </c>
      <c r="L30" s="1" t="s">
        <v>13</v>
      </c>
      <c r="M30" s="6">
        <v>0.916666349882351</v>
      </c>
    </row>
    <row r="31" spans="1:13">
      <c r="A31" s="17" t="s">
        <v>24</v>
      </c>
      <c r="B31" s="18" t="s">
        <v>71</v>
      </c>
      <c r="C31" s="18" t="s">
        <v>15</v>
      </c>
      <c r="D31" s="18" t="s">
        <v>9</v>
      </c>
      <c r="E31" s="6">
        <v>1.23360920997787</v>
      </c>
      <c r="F31" s="18" t="s">
        <v>10</v>
      </c>
      <c r="G31" s="6">
        <v>-1.45678378159713</v>
      </c>
      <c r="H31" s="18" t="s">
        <v>11</v>
      </c>
      <c r="I31" s="6">
        <v>1.37404550532886</v>
      </c>
      <c r="J31" s="1" t="s">
        <v>12</v>
      </c>
      <c r="K31" s="6">
        <v>0.107812996619828</v>
      </c>
      <c r="L31" s="1" t="s">
        <v>13</v>
      </c>
      <c r="M31" s="6">
        <v>0.280701489618216</v>
      </c>
    </row>
    <row r="32" spans="1:13">
      <c r="A32" s="17" t="s">
        <v>25</v>
      </c>
      <c r="B32" s="18" t="s">
        <v>71</v>
      </c>
      <c r="C32" s="18" t="s">
        <v>8</v>
      </c>
      <c r="D32" s="18" t="s">
        <v>9</v>
      </c>
      <c r="E32" s="6">
        <v>-0.971001176289759</v>
      </c>
      <c r="F32" s="18" t="s">
        <v>10</v>
      </c>
      <c r="G32" s="6">
        <v>-3.07104613181014</v>
      </c>
      <c r="H32" s="18" t="s">
        <v>11</v>
      </c>
      <c r="I32" s="6">
        <v>-0.714530356963593</v>
      </c>
      <c r="J32" s="1" t="s">
        <v>12</v>
      </c>
      <c r="K32" s="6">
        <v>-0.592991428301268</v>
      </c>
      <c r="L32" s="1" t="s">
        <v>13</v>
      </c>
      <c r="M32" s="6">
        <v>-3.62816029830502</v>
      </c>
    </row>
    <row r="33" spans="1:13">
      <c r="A33" s="17" t="s">
        <v>25</v>
      </c>
      <c r="B33" s="18" t="s">
        <v>71</v>
      </c>
      <c r="C33" s="18" t="s">
        <v>14</v>
      </c>
      <c r="D33" s="18" t="s">
        <v>9</v>
      </c>
      <c r="E33" s="6">
        <v>1.74821788961794</v>
      </c>
      <c r="F33" s="18" t="s">
        <v>10</v>
      </c>
      <c r="G33" s="6">
        <v>-0.895933874727997</v>
      </c>
      <c r="H33" s="18" t="s">
        <v>11</v>
      </c>
      <c r="I33" s="6">
        <v>-1.70349379733764</v>
      </c>
      <c r="J33" s="1" t="s">
        <v>12</v>
      </c>
      <c r="K33" s="6">
        <v>2.862831141951</v>
      </c>
      <c r="L33" s="1" t="s">
        <v>13</v>
      </c>
      <c r="M33" s="6">
        <v>-3.62816029830502</v>
      </c>
    </row>
    <row r="34" spans="1:13">
      <c r="A34" s="17" t="s">
        <v>25</v>
      </c>
      <c r="B34" s="18" t="s">
        <v>71</v>
      </c>
      <c r="C34" s="18" t="s">
        <v>15</v>
      </c>
      <c r="D34" s="18" t="s">
        <v>9</v>
      </c>
      <c r="E34" s="6">
        <v>1.75345673303025</v>
      </c>
      <c r="F34" s="18" t="s">
        <v>10</v>
      </c>
      <c r="G34" s="6">
        <v>-3.02216766451807</v>
      </c>
      <c r="H34" s="18" t="s">
        <v>11</v>
      </c>
      <c r="I34" s="6">
        <v>-0.495501729518639</v>
      </c>
      <c r="J34" s="1" t="s">
        <v>12</v>
      </c>
      <c r="K34" s="6">
        <v>1.86525931075663</v>
      </c>
      <c r="L34" s="1" t="s">
        <v>13</v>
      </c>
      <c r="M34" s="6">
        <v>-2.56989994992583</v>
      </c>
    </row>
    <row r="35" spans="1:13">
      <c r="A35" s="17" t="s">
        <v>26</v>
      </c>
      <c r="B35" s="18" t="s">
        <v>71</v>
      </c>
      <c r="C35" s="18" t="s">
        <v>8</v>
      </c>
      <c r="D35" s="18" t="s">
        <v>9</v>
      </c>
      <c r="E35" s="6">
        <v>-0.0602959370172958</v>
      </c>
      <c r="F35" s="18" t="s">
        <v>10</v>
      </c>
      <c r="G35" s="6">
        <v>-0.682947727076415</v>
      </c>
      <c r="H35" s="18" t="s">
        <v>11</v>
      </c>
      <c r="I35" s="6">
        <v>1.69558894128445</v>
      </c>
      <c r="J35" s="1" t="s">
        <v>12</v>
      </c>
      <c r="K35" s="6">
        <v>-0.393940552089717</v>
      </c>
      <c r="L35" s="1" t="s">
        <v>13</v>
      </c>
      <c r="M35" s="6">
        <v>3.06397759453762</v>
      </c>
    </row>
    <row r="36" spans="1:13">
      <c r="A36" s="17" t="s">
        <v>26</v>
      </c>
      <c r="B36" s="18" t="s">
        <v>71</v>
      </c>
      <c r="C36" s="18" t="s">
        <v>14</v>
      </c>
      <c r="D36" s="18" t="s">
        <v>9</v>
      </c>
      <c r="E36" s="6">
        <v>-0.852470494794252</v>
      </c>
      <c r="F36" s="18" t="s">
        <v>10</v>
      </c>
      <c r="G36" s="6">
        <v>-2.95591424443598</v>
      </c>
      <c r="H36" s="18" t="s">
        <v>11</v>
      </c>
      <c r="I36" s="6">
        <v>1.38054032288692</v>
      </c>
      <c r="J36" s="1" t="s">
        <v>12</v>
      </c>
      <c r="K36" s="6">
        <v>-1.25345670369952</v>
      </c>
      <c r="L36" s="1" t="s">
        <v>13</v>
      </c>
      <c r="M36" s="6">
        <v>3.06397759453762</v>
      </c>
    </row>
    <row r="37" spans="1:13">
      <c r="A37" s="17" t="s">
        <v>26</v>
      </c>
      <c r="B37" s="18" t="s">
        <v>71</v>
      </c>
      <c r="C37" s="18" t="s">
        <v>15</v>
      </c>
      <c r="D37" s="18" t="s">
        <v>9</v>
      </c>
      <c r="E37" s="6">
        <v>-1.13381778279807</v>
      </c>
      <c r="F37" s="18" t="s">
        <v>10</v>
      </c>
      <c r="G37" s="6">
        <v>-4.55809516258912</v>
      </c>
      <c r="H37" s="18" t="s">
        <v>11</v>
      </c>
      <c r="I37" s="6">
        <v>1.48377566149969</v>
      </c>
      <c r="J37" s="1" t="s">
        <v>12</v>
      </c>
      <c r="K37" s="6">
        <v>-2.73495743894224</v>
      </c>
      <c r="L37" s="1" t="s">
        <v>13</v>
      </c>
      <c r="M37" s="6">
        <v>3.57160692281727</v>
      </c>
    </row>
    <row r="38" spans="1:13">
      <c r="A38" s="17" t="s">
        <v>27</v>
      </c>
      <c r="B38" s="14" t="s">
        <v>72</v>
      </c>
      <c r="C38" s="18" t="s">
        <v>8</v>
      </c>
      <c r="D38" s="18" t="s">
        <v>9</v>
      </c>
      <c r="E38" s="6">
        <v>6.05196592815536</v>
      </c>
      <c r="F38" s="18" t="s">
        <v>10</v>
      </c>
      <c r="G38" s="6">
        <v>-9.42663635238622</v>
      </c>
      <c r="H38" s="18" t="s">
        <v>11</v>
      </c>
      <c r="I38" s="6">
        <v>-0.881946135236304</v>
      </c>
      <c r="J38" s="1" t="s">
        <v>12</v>
      </c>
      <c r="K38" s="6">
        <v>-5.93817734272403</v>
      </c>
      <c r="L38" s="1" t="s">
        <v>13</v>
      </c>
      <c r="M38" s="6">
        <v>1.11260694891897</v>
      </c>
    </row>
    <row r="39" spans="1:13">
      <c r="A39" s="17" t="s">
        <v>27</v>
      </c>
      <c r="B39" s="14" t="s">
        <v>72</v>
      </c>
      <c r="C39" s="18" t="s">
        <v>14</v>
      </c>
      <c r="D39" s="18" t="s">
        <v>9</v>
      </c>
      <c r="E39" s="6">
        <v>-3.31289904547196</v>
      </c>
      <c r="F39" s="18" t="s">
        <v>10</v>
      </c>
      <c r="G39" s="6">
        <v>-1.59780607011921</v>
      </c>
      <c r="H39" s="18" t="s">
        <v>11</v>
      </c>
      <c r="I39" s="6">
        <v>-6.02923392952883</v>
      </c>
      <c r="J39" s="1" t="s">
        <v>12</v>
      </c>
      <c r="K39" s="6">
        <v>-1.54187493476879</v>
      </c>
      <c r="L39" s="1" t="s">
        <v>13</v>
      </c>
      <c r="M39" s="6">
        <v>1.11260694891897</v>
      </c>
    </row>
    <row r="40" spans="1:13">
      <c r="A40" s="17" t="s">
        <v>27</v>
      </c>
      <c r="B40" s="14" t="s">
        <v>72</v>
      </c>
      <c r="C40" s="18" t="s">
        <v>15</v>
      </c>
      <c r="D40" s="18" t="s">
        <v>9</v>
      </c>
      <c r="E40" s="6">
        <v>2.7447512682762</v>
      </c>
      <c r="F40" s="18" t="s">
        <v>10</v>
      </c>
      <c r="G40" s="6">
        <v>-2.35016180486648</v>
      </c>
      <c r="H40" s="18" t="s">
        <v>11</v>
      </c>
      <c r="I40" s="6">
        <v>-0.561988371406782</v>
      </c>
      <c r="J40" s="1" t="s">
        <v>12</v>
      </c>
      <c r="K40" s="6">
        <v>-5.27232850951806</v>
      </c>
      <c r="L40" s="1" t="s">
        <v>13</v>
      </c>
      <c r="M40" s="6">
        <v>0.810839220913916</v>
      </c>
    </row>
    <row r="41" spans="1:13">
      <c r="A41" s="17" t="s">
        <v>28</v>
      </c>
      <c r="B41" s="14" t="s">
        <v>72</v>
      </c>
      <c r="C41" s="18" t="s">
        <v>8</v>
      </c>
      <c r="D41" s="18" t="s">
        <v>9</v>
      </c>
      <c r="E41" s="6">
        <v>1.66300900764643</v>
      </c>
      <c r="F41" s="18" t="s">
        <v>10</v>
      </c>
      <c r="G41" s="6">
        <v>-0.381661503285941</v>
      </c>
      <c r="H41" s="18" t="s">
        <v>11</v>
      </c>
      <c r="I41" s="6">
        <v>-4.35282045474974</v>
      </c>
      <c r="J41" s="1" t="s">
        <v>12</v>
      </c>
      <c r="K41" s="6">
        <v>-6.39603446908482</v>
      </c>
      <c r="L41" s="1" t="s">
        <v>13</v>
      </c>
      <c r="M41" s="6">
        <v>-0.452173764501153</v>
      </c>
    </row>
    <row r="42" spans="1:13">
      <c r="A42" s="17" t="s">
        <v>28</v>
      </c>
      <c r="B42" s="14" t="s">
        <v>72</v>
      </c>
      <c r="C42" s="18" t="s">
        <v>14</v>
      </c>
      <c r="D42" s="18" t="s">
        <v>9</v>
      </c>
      <c r="E42" s="6">
        <v>0.379180464635821</v>
      </c>
      <c r="F42" s="18" t="s">
        <v>10</v>
      </c>
      <c r="G42" s="6">
        <v>-3.54338241989304</v>
      </c>
      <c r="H42" s="18" t="s">
        <v>11</v>
      </c>
      <c r="I42" s="6">
        <v>-3.10852778282546</v>
      </c>
      <c r="J42" s="1" t="s">
        <v>12</v>
      </c>
      <c r="K42" s="6">
        <v>-2.68200368924992</v>
      </c>
      <c r="L42" s="1" t="s">
        <v>13</v>
      </c>
      <c r="M42" s="6">
        <v>-0.452173764501153</v>
      </c>
    </row>
    <row r="43" spans="1:13">
      <c r="A43" s="17" t="s">
        <v>28</v>
      </c>
      <c r="B43" s="14" t="s">
        <v>72</v>
      </c>
      <c r="C43" s="18" t="s">
        <v>15</v>
      </c>
      <c r="D43" s="18" t="s">
        <v>9</v>
      </c>
      <c r="E43" s="6">
        <v>-1.71617290178864</v>
      </c>
      <c r="F43" s="18" t="s">
        <v>10</v>
      </c>
      <c r="G43" s="6">
        <v>-2.28048912910147</v>
      </c>
      <c r="H43" s="18" t="s">
        <v>11</v>
      </c>
      <c r="I43" s="6">
        <v>-3.46784093408621</v>
      </c>
      <c r="J43" s="1" t="s">
        <v>12</v>
      </c>
      <c r="K43" s="6">
        <v>-4.61971166184581</v>
      </c>
      <c r="L43" s="1" t="s">
        <v>13</v>
      </c>
      <c r="M43" s="6">
        <v>3.06128753733445</v>
      </c>
    </row>
    <row r="44" spans="1:13">
      <c r="A44" s="17" t="s">
        <v>29</v>
      </c>
      <c r="B44" s="14" t="s">
        <v>72</v>
      </c>
      <c r="C44" s="18" t="s">
        <v>8</v>
      </c>
      <c r="D44" s="18" t="s">
        <v>9</v>
      </c>
      <c r="E44" s="6">
        <v>-0.883460330659727</v>
      </c>
      <c r="F44" s="18" t="s">
        <v>10</v>
      </c>
      <c r="G44" s="6">
        <v>-1.33182266617404</v>
      </c>
      <c r="H44" s="18" t="s">
        <v>11</v>
      </c>
      <c r="I44" s="6">
        <v>-3.70540681026414</v>
      </c>
      <c r="J44" s="1" t="s">
        <v>12</v>
      </c>
      <c r="K44" s="6">
        <v>-2.08244534871102</v>
      </c>
      <c r="L44" s="1" t="s">
        <v>13</v>
      </c>
      <c r="M44" s="6">
        <v>1.9680469814484</v>
      </c>
    </row>
    <row r="45" spans="1:13">
      <c r="A45" s="17" t="s">
        <v>29</v>
      </c>
      <c r="B45" s="14" t="s">
        <v>72</v>
      </c>
      <c r="C45" s="18" t="s">
        <v>14</v>
      </c>
      <c r="D45" s="18" t="s">
        <v>9</v>
      </c>
      <c r="E45" s="6">
        <v>0.512335635575268</v>
      </c>
      <c r="F45" s="18" t="s">
        <v>10</v>
      </c>
      <c r="G45" s="6">
        <v>0.946091791853197</v>
      </c>
      <c r="H45" s="18" t="s">
        <v>11</v>
      </c>
      <c r="I45" s="6">
        <v>0.829459668275293</v>
      </c>
      <c r="J45" s="1" t="s">
        <v>12</v>
      </c>
      <c r="K45" s="6">
        <v>-1.98553411566203</v>
      </c>
      <c r="L45" s="1" t="s">
        <v>13</v>
      </c>
      <c r="M45" s="6">
        <v>1.9680469814484</v>
      </c>
    </row>
    <row r="46" spans="1:13">
      <c r="A46" s="17" t="s">
        <v>29</v>
      </c>
      <c r="B46" s="14" t="s">
        <v>72</v>
      </c>
      <c r="C46" s="18" t="s">
        <v>15</v>
      </c>
      <c r="D46" s="18" t="s">
        <v>9</v>
      </c>
      <c r="E46" s="6">
        <v>-2.33958331024252</v>
      </c>
      <c r="F46" s="18" t="s">
        <v>10</v>
      </c>
      <c r="G46" s="6">
        <v>-1.53500169548375</v>
      </c>
      <c r="H46" s="18" t="s">
        <v>11</v>
      </c>
      <c r="I46" s="6">
        <v>-4.74461555445403</v>
      </c>
      <c r="J46" s="1" t="s">
        <v>12</v>
      </c>
      <c r="K46" s="6">
        <v>2.55563837682425</v>
      </c>
      <c r="L46" s="1" t="s">
        <v>13</v>
      </c>
      <c r="M46" s="6">
        <v>5.07699367227475</v>
      </c>
    </row>
    <row r="47" spans="1:13">
      <c r="A47" s="17" t="s">
        <v>30</v>
      </c>
      <c r="B47" s="14" t="s">
        <v>72</v>
      </c>
      <c r="C47" s="18" t="s">
        <v>8</v>
      </c>
      <c r="D47" s="18" t="s">
        <v>9</v>
      </c>
      <c r="E47" s="6">
        <v>3.22011024155084</v>
      </c>
      <c r="F47" s="18" t="s">
        <v>10</v>
      </c>
      <c r="G47" s="6">
        <v>5.21088147178359</v>
      </c>
      <c r="H47" s="18" t="s">
        <v>11</v>
      </c>
      <c r="I47" s="6">
        <v>-4.41652313005898</v>
      </c>
      <c r="J47" s="1" t="s">
        <v>12</v>
      </c>
      <c r="K47" s="6">
        <v>-0.936969095809798</v>
      </c>
      <c r="L47" s="1" t="s">
        <v>13</v>
      </c>
      <c r="M47" s="6">
        <v>-3.19467961068035</v>
      </c>
    </row>
    <row r="48" spans="1:13">
      <c r="A48" s="17" t="s">
        <v>30</v>
      </c>
      <c r="B48" s="14" t="s">
        <v>72</v>
      </c>
      <c r="C48" s="18" t="s">
        <v>14</v>
      </c>
      <c r="D48" s="18" t="s">
        <v>9</v>
      </c>
      <c r="E48" s="6">
        <v>-1.35512429562095</v>
      </c>
      <c r="F48" s="18" t="s">
        <v>10</v>
      </c>
      <c r="G48" s="6">
        <v>1.86548249998603</v>
      </c>
      <c r="H48" s="18" t="s">
        <v>11</v>
      </c>
      <c r="I48" s="6">
        <v>-1.61273600926544</v>
      </c>
      <c r="J48" s="1" t="s">
        <v>12</v>
      </c>
      <c r="K48" s="6">
        <v>4.35756286450604</v>
      </c>
      <c r="L48" s="1" t="s">
        <v>13</v>
      </c>
      <c r="M48" s="6">
        <v>-3.19467961068035</v>
      </c>
    </row>
    <row r="49" spans="1:13">
      <c r="A49" s="17" t="s">
        <v>30</v>
      </c>
      <c r="B49" s="14" t="s">
        <v>72</v>
      </c>
      <c r="C49" s="18" t="s">
        <v>15</v>
      </c>
      <c r="D49" s="18" t="s">
        <v>9</v>
      </c>
      <c r="E49" s="6">
        <v>-0.866647160059791</v>
      </c>
      <c r="F49" s="18" t="s">
        <v>10</v>
      </c>
      <c r="G49" s="6">
        <v>7.02687634283246</v>
      </c>
      <c r="H49" s="18" t="s">
        <v>11</v>
      </c>
      <c r="I49" s="6">
        <v>-0.355129248257701</v>
      </c>
      <c r="J49" s="1" t="s">
        <v>12</v>
      </c>
      <c r="K49" s="6">
        <v>6.47226644486972</v>
      </c>
      <c r="L49" s="1" t="s">
        <v>13</v>
      </c>
      <c r="M49" s="6">
        <v>1.37555548497709</v>
      </c>
    </row>
    <row r="50" spans="1:13">
      <c r="A50" s="17" t="s">
        <v>31</v>
      </c>
      <c r="B50" s="14" t="s">
        <v>72</v>
      </c>
      <c r="C50" s="18" t="s">
        <v>8</v>
      </c>
      <c r="D50" s="18" t="s">
        <v>9</v>
      </c>
      <c r="E50" s="6">
        <v>-3.76287289467604</v>
      </c>
      <c r="F50" s="18" t="s">
        <v>10</v>
      </c>
      <c r="G50" s="6">
        <v>-0.558138959515863</v>
      </c>
      <c r="H50" s="18" t="s">
        <v>11</v>
      </c>
      <c r="I50" s="6">
        <v>0.858394289583531</v>
      </c>
      <c r="J50" s="1" t="s">
        <v>12</v>
      </c>
      <c r="K50" s="6">
        <v>0.82607302930651</v>
      </c>
      <c r="L50" s="1" t="s">
        <v>13</v>
      </c>
      <c r="M50" s="6">
        <v>0.451433929650201</v>
      </c>
    </row>
    <row r="51" spans="1:13">
      <c r="A51" s="17" t="s">
        <v>31</v>
      </c>
      <c r="B51" s="14" t="s">
        <v>72</v>
      </c>
      <c r="C51" s="18" t="s">
        <v>14</v>
      </c>
      <c r="D51" s="18" t="s">
        <v>9</v>
      </c>
      <c r="E51" s="6">
        <v>-5.38995940669902</v>
      </c>
      <c r="F51" s="18" t="s">
        <v>10</v>
      </c>
      <c r="G51" s="6">
        <v>0.398233230126398</v>
      </c>
      <c r="H51" s="18" t="s">
        <v>11</v>
      </c>
      <c r="I51" s="6">
        <v>6.57556603131666</v>
      </c>
      <c r="J51" s="1" t="s">
        <v>12</v>
      </c>
      <c r="K51" s="6">
        <v>-0.674915411493499</v>
      </c>
      <c r="L51" s="1" t="s">
        <v>13</v>
      </c>
      <c r="M51" s="6">
        <v>0.451433929650201</v>
      </c>
    </row>
    <row r="52" spans="1:13">
      <c r="A52" s="17" t="s">
        <v>31</v>
      </c>
      <c r="B52" s="14" t="s">
        <v>72</v>
      </c>
      <c r="C52" s="18" t="s">
        <v>15</v>
      </c>
      <c r="D52" s="18" t="s">
        <v>9</v>
      </c>
      <c r="E52" s="6">
        <v>-7.23858211297265</v>
      </c>
      <c r="F52" s="18" t="s">
        <v>10</v>
      </c>
      <c r="G52" s="6">
        <v>-3.83123150819424</v>
      </c>
      <c r="H52" s="18" t="s">
        <v>11</v>
      </c>
      <c r="I52" s="6">
        <v>2.55753099810748</v>
      </c>
      <c r="J52" s="1" t="s">
        <v>12</v>
      </c>
      <c r="K52" s="6">
        <v>0.97044784134282</v>
      </c>
      <c r="L52" s="1" t="s">
        <v>13</v>
      </c>
      <c r="M52" s="6">
        <v>1.02722602950451</v>
      </c>
    </row>
    <row r="53" spans="1:13">
      <c r="A53" s="17" t="s">
        <v>32</v>
      </c>
      <c r="B53" s="14" t="s">
        <v>72</v>
      </c>
      <c r="C53" s="18" t="s">
        <v>8</v>
      </c>
      <c r="D53" s="18" t="s">
        <v>9</v>
      </c>
      <c r="E53" s="6">
        <v>-1.78902085215105</v>
      </c>
      <c r="F53" s="18" t="s">
        <v>10</v>
      </c>
      <c r="G53" s="6">
        <v>-2.03627043193959</v>
      </c>
      <c r="H53" s="18" t="s">
        <v>11</v>
      </c>
      <c r="I53" s="6">
        <v>1.28477523913323</v>
      </c>
      <c r="J53" s="1" t="s">
        <v>12</v>
      </c>
      <c r="K53" s="6">
        <v>0.612045851433486</v>
      </c>
      <c r="L53" s="1" t="s">
        <v>13</v>
      </c>
      <c r="M53" s="6">
        <v>1.80715624143457</v>
      </c>
    </row>
    <row r="54" spans="1:13">
      <c r="A54" s="17" t="s">
        <v>32</v>
      </c>
      <c r="B54" s="14" t="s">
        <v>72</v>
      </c>
      <c r="C54" s="18" t="s">
        <v>14</v>
      </c>
      <c r="D54" s="18" t="s">
        <v>9</v>
      </c>
      <c r="E54" s="6">
        <v>-0.419401754665777</v>
      </c>
      <c r="F54" s="18" t="s">
        <v>10</v>
      </c>
      <c r="G54" s="6">
        <v>-1.66100450567536</v>
      </c>
      <c r="H54" s="18" t="s">
        <v>11</v>
      </c>
      <c r="I54" s="6">
        <v>0.963157888435534</v>
      </c>
      <c r="J54" s="1" t="s">
        <v>12</v>
      </c>
      <c r="K54" s="6">
        <v>-3.18137208827959</v>
      </c>
      <c r="L54" s="1" t="s">
        <v>13</v>
      </c>
      <c r="M54" s="6">
        <v>1.80715624143457</v>
      </c>
    </row>
    <row r="55" spans="1:13">
      <c r="A55" s="17" t="s">
        <v>32</v>
      </c>
      <c r="B55" s="14" t="s">
        <v>72</v>
      </c>
      <c r="C55" s="18" t="s">
        <v>15</v>
      </c>
      <c r="D55" s="18" t="s">
        <v>9</v>
      </c>
      <c r="E55" s="6">
        <v>0.369114771405599</v>
      </c>
      <c r="F55" s="18" t="s">
        <v>10</v>
      </c>
      <c r="G55" s="6">
        <v>-1.46864610845147</v>
      </c>
      <c r="H55" s="18" t="s">
        <v>11</v>
      </c>
      <c r="I55" s="6">
        <v>-0.232314800206881</v>
      </c>
      <c r="J55" s="1" t="s">
        <v>12</v>
      </c>
      <c r="K55" s="6">
        <v>-1.5215950245649</v>
      </c>
      <c r="L55" s="1" t="s">
        <v>13</v>
      </c>
      <c r="M55" s="6">
        <v>0.455576191863234</v>
      </c>
    </row>
    <row r="56" spans="1:13">
      <c r="A56" s="17" t="s">
        <v>33</v>
      </c>
      <c r="B56" s="14" t="s">
        <v>72</v>
      </c>
      <c r="C56" s="18" t="s">
        <v>8</v>
      </c>
      <c r="D56" s="18" t="s">
        <v>9</v>
      </c>
      <c r="E56" s="6">
        <v>3.85722990454043</v>
      </c>
      <c r="F56" s="18" t="s">
        <v>10</v>
      </c>
      <c r="G56" s="6">
        <v>0.713367089648983</v>
      </c>
      <c r="H56" s="18" t="s">
        <v>11</v>
      </c>
      <c r="I56" s="6">
        <v>-9.31134174274711</v>
      </c>
      <c r="J56" s="1" t="s">
        <v>12</v>
      </c>
      <c r="K56" s="6">
        <v>-1.90255303283082</v>
      </c>
      <c r="L56" s="1" t="s">
        <v>13</v>
      </c>
      <c r="M56" s="6">
        <v>0.724793784662572</v>
      </c>
    </row>
    <row r="57" spans="1:13">
      <c r="A57" s="17" t="s">
        <v>33</v>
      </c>
      <c r="B57" s="14" t="s">
        <v>72</v>
      </c>
      <c r="C57" s="18" t="s">
        <v>14</v>
      </c>
      <c r="D57" s="18" t="s">
        <v>9</v>
      </c>
      <c r="E57" s="6">
        <v>2.28807407889524</v>
      </c>
      <c r="F57" s="18" t="s">
        <v>10</v>
      </c>
      <c r="G57" s="6">
        <v>-7.21223434819884</v>
      </c>
      <c r="H57" s="18" t="s">
        <v>11</v>
      </c>
      <c r="I57" s="6">
        <v>-3.14087551114355</v>
      </c>
      <c r="J57" s="1" t="s">
        <v>12</v>
      </c>
      <c r="K57" s="6">
        <v>-4.30596153709484</v>
      </c>
      <c r="L57" s="1" t="s">
        <v>13</v>
      </c>
      <c r="M57" s="6">
        <v>0.724793784662572</v>
      </c>
    </row>
    <row r="58" spans="1:13">
      <c r="A58" s="17" t="s">
        <v>33</v>
      </c>
      <c r="B58" s="14" t="s">
        <v>72</v>
      </c>
      <c r="C58" s="18" t="s">
        <v>15</v>
      </c>
      <c r="D58" s="18" t="s">
        <v>9</v>
      </c>
      <c r="E58" s="6">
        <v>2.11229402165468</v>
      </c>
      <c r="F58" s="18" t="s">
        <v>10</v>
      </c>
      <c r="G58" s="6">
        <v>-1.27902893409876</v>
      </c>
      <c r="H58" s="18" t="s">
        <v>11</v>
      </c>
      <c r="I58" s="6">
        <v>-5.41839653994765</v>
      </c>
      <c r="J58" s="1" t="s">
        <v>12</v>
      </c>
      <c r="K58" s="8">
        <v>5.49045248781657</v>
      </c>
      <c r="L58" s="1" t="s">
        <v>13</v>
      </c>
      <c r="M58" s="6">
        <v>3.22974421229751</v>
      </c>
    </row>
    <row r="59" spans="1:13">
      <c r="A59" s="17" t="s">
        <v>34</v>
      </c>
      <c r="B59" s="14" t="s">
        <v>72</v>
      </c>
      <c r="C59" s="18" t="s">
        <v>8</v>
      </c>
      <c r="D59" s="18" t="s">
        <v>9</v>
      </c>
      <c r="E59" s="6">
        <v>0.562240229599822</v>
      </c>
      <c r="F59" s="18" t="s">
        <v>10</v>
      </c>
      <c r="G59" s="6">
        <v>-2.00289436570512</v>
      </c>
      <c r="H59" s="18" t="s">
        <v>11</v>
      </c>
      <c r="I59" s="6">
        <v>-4.85311273906461</v>
      </c>
      <c r="J59" s="1" t="s">
        <v>12</v>
      </c>
      <c r="K59" s="6">
        <v>-1.17585603284611</v>
      </c>
      <c r="L59" s="1" t="s">
        <v>13</v>
      </c>
      <c r="M59" s="6">
        <v>-1.60135787544475</v>
      </c>
    </row>
    <row r="60" spans="1:13">
      <c r="A60" s="17" t="s">
        <v>34</v>
      </c>
      <c r="B60" s="14" t="s">
        <v>72</v>
      </c>
      <c r="C60" s="18" t="s">
        <v>14</v>
      </c>
      <c r="D60" s="18" t="s">
        <v>9</v>
      </c>
      <c r="E60" s="6">
        <v>1.59128925974493</v>
      </c>
      <c r="F60" s="18" t="s">
        <v>10</v>
      </c>
      <c r="G60" s="6">
        <v>-2.37095889091372</v>
      </c>
      <c r="H60" s="18" t="s">
        <v>11</v>
      </c>
      <c r="I60" s="6">
        <v>1.93623723784048</v>
      </c>
      <c r="J60" s="1" t="s">
        <v>12</v>
      </c>
      <c r="K60" s="6">
        <v>-3.83524790412312</v>
      </c>
      <c r="L60" s="1" t="s">
        <v>13</v>
      </c>
      <c r="M60" s="6">
        <v>-1.60135787544475</v>
      </c>
    </row>
    <row r="61" spans="1:13">
      <c r="A61" s="17" t="s">
        <v>34</v>
      </c>
      <c r="B61" s="14" t="s">
        <v>72</v>
      </c>
      <c r="C61" s="18" t="s">
        <v>15</v>
      </c>
      <c r="D61" s="18" t="s">
        <v>9</v>
      </c>
      <c r="E61" s="6">
        <v>-0.587552046406467</v>
      </c>
      <c r="F61" s="18" t="s">
        <v>10</v>
      </c>
      <c r="G61" s="6">
        <v>2.19091967996872</v>
      </c>
      <c r="H61" s="18" t="s">
        <v>11</v>
      </c>
      <c r="I61" s="6">
        <v>-1.70772169149646</v>
      </c>
      <c r="J61" s="1" t="s">
        <v>12</v>
      </c>
      <c r="K61" s="6">
        <v>5.74500162906487</v>
      </c>
      <c r="L61" s="1" t="s">
        <v>13</v>
      </c>
      <c r="M61" s="6">
        <v>1.54065060392544</v>
      </c>
    </row>
    <row r="62" spans="1:13">
      <c r="A62" s="17" t="s">
        <v>35</v>
      </c>
      <c r="B62" s="14" t="s">
        <v>72</v>
      </c>
      <c r="C62" s="18" t="s">
        <v>8</v>
      </c>
      <c r="D62" s="18" t="s">
        <v>9</v>
      </c>
      <c r="E62" s="6">
        <v>1.62364120161206</v>
      </c>
      <c r="F62" s="18" t="s">
        <v>10</v>
      </c>
      <c r="G62" s="6">
        <v>-2.40688983482632</v>
      </c>
      <c r="H62" s="18" t="s">
        <v>11</v>
      </c>
      <c r="I62" s="6">
        <v>-2.49689487809633</v>
      </c>
      <c r="J62" s="1" t="s">
        <v>12</v>
      </c>
      <c r="K62" s="6">
        <v>-2.11966354069644</v>
      </c>
      <c r="L62" s="1" t="s">
        <v>13</v>
      </c>
      <c r="M62" s="6">
        <v>-0.772720651046604</v>
      </c>
    </row>
    <row r="63" spans="1:13">
      <c r="A63" s="17" t="s">
        <v>35</v>
      </c>
      <c r="B63" s="14" t="s">
        <v>72</v>
      </c>
      <c r="C63" s="18" t="s">
        <v>14</v>
      </c>
      <c r="D63" s="18" t="s">
        <v>9</v>
      </c>
      <c r="E63" s="6">
        <v>0.410744603157971</v>
      </c>
      <c r="F63" s="18" t="s">
        <v>10</v>
      </c>
      <c r="G63" s="6">
        <v>0.925292276111887</v>
      </c>
      <c r="H63" s="18" t="s">
        <v>11</v>
      </c>
      <c r="I63" s="6">
        <v>1.07523699647225</v>
      </c>
      <c r="J63" s="1" t="s">
        <v>12</v>
      </c>
      <c r="K63" s="6">
        <v>1.46808132350823</v>
      </c>
      <c r="L63" s="1" t="s">
        <v>13</v>
      </c>
      <c r="M63" s="6">
        <v>-0.772720651046604</v>
      </c>
    </row>
    <row r="64" spans="1:13">
      <c r="A64" s="17" t="s">
        <v>35</v>
      </c>
      <c r="B64" s="14" t="s">
        <v>72</v>
      </c>
      <c r="C64" s="18" t="s">
        <v>15</v>
      </c>
      <c r="D64" s="18" t="s">
        <v>9</v>
      </c>
      <c r="E64" s="6">
        <v>2.00817498712005</v>
      </c>
      <c r="F64" s="18" t="s">
        <v>10</v>
      </c>
      <c r="G64" s="6">
        <v>-2.70949417517691</v>
      </c>
      <c r="H64" s="18" t="s">
        <v>11</v>
      </c>
      <c r="I64" s="6">
        <v>0.489087836211613</v>
      </c>
      <c r="J64" s="1" t="s">
        <v>12</v>
      </c>
      <c r="K64" s="6">
        <v>-2.1625319740219</v>
      </c>
      <c r="L64" s="1" t="s">
        <v>13</v>
      </c>
      <c r="M64" s="6">
        <v>0.296098433421646</v>
      </c>
    </row>
    <row r="65" spans="1:13">
      <c r="A65" s="1" t="s">
        <v>73</v>
      </c>
      <c r="B65" s="14" t="s">
        <v>72</v>
      </c>
      <c r="C65" s="18" t="s">
        <v>8</v>
      </c>
      <c r="D65" s="18" t="s">
        <v>9</v>
      </c>
      <c r="E65" s="6">
        <v>1.64398921620798</v>
      </c>
      <c r="F65" s="18" t="s">
        <v>10</v>
      </c>
      <c r="G65" s="6">
        <v>2.19781199267954</v>
      </c>
      <c r="H65" s="18" t="s">
        <v>11</v>
      </c>
      <c r="I65" s="6">
        <v>-2.16382993892177</v>
      </c>
      <c r="J65" s="1" t="s">
        <v>12</v>
      </c>
      <c r="K65" s="6">
        <v>0.562707513901283</v>
      </c>
      <c r="L65" s="1" t="s">
        <v>13</v>
      </c>
      <c r="M65" s="6">
        <v>0.261346802840069</v>
      </c>
    </row>
    <row r="66" spans="1:13">
      <c r="A66" s="1" t="s">
        <v>73</v>
      </c>
      <c r="B66" s="14" t="s">
        <v>72</v>
      </c>
      <c r="C66" s="18" t="s">
        <v>14</v>
      </c>
      <c r="D66" s="18" t="s">
        <v>9</v>
      </c>
      <c r="E66" s="6">
        <v>0.565500977721784</v>
      </c>
      <c r="F66" s="18" t="s">
        <v>10</v>
      </c>
      <c r="G66" s="6">
        <v>0.858839346237144</v>
      </c>
      <c r="H66" s="18" t="s">
        <v>11</v>
      </c>
      <c r="I66" s="6">
        <v>2.813200240639</v>
      </c>
      <c r="J66" s="1" t="s">
        <v>12</v>
      </c>
      <c r="K66" s="6">
        <v>-3.0842478487391</v>
      </c>
      <c r="L66" s="1" t="s">
        <v>13</v>
      </c>
      <c r="M66" s="6">
        <v>0.261346802840069</v>
      </c>
    </row>
    <row r="67" spans="1:13">
      <c r="A67" s="1" t="s">
        <v>73</v>
      </c>
      <c r="B67" s="14" t="s">
        <v>72</v>
      </c>
      <c r="C67" s="18" t="s">
        <v>15</v>
      </c>
      <c r="D67" s="18" t="s">
        <v>9</v>
      </c>
      <c r="E67" s="6">
        <v>2.60954857369413</v>
      </c>
      <c r="F67" s="18" t="s">
        <v>10</v>
      </c>
      <c r="G67" s="6">
        <v>0.270727333870706</v>
      </c>
      <c r="H67" s="18" t="s">
        <v>11</v>
      </c>
      <c r="I67" s="6">
        <v>-2.92581720931478</v>
      </c>
      <c r="J67" s="1" t="s">
        <v>12</v>
      </c>
      <c r="K67" s="6">
        <v>-0.560066146492635</v>
      </c>
      <c r="L67" s="1" t="s">
        <v>13</v>
      </c>
      <c r="M67" s="6">
        <v>0.454295108348745</v>
      </c>
    </row>
    <row r="68" spans="1:13">
      <c r="A68" s="17" t="s">
        <v>37</v>
      </c>
      <c r="B68" s="14" t="s">
        <v>72</v>
      </c>
      <c r="C68" s="18" t="s">
        <v>8</v>
      </c>
      <c r="D68" s="18" t="s">
        <v>9</v>
      </c>
      <c r="E68" s="6">
        <v>-3.17330799963331</v>
      </c>
      <c r="F68" s="18" t="s">
        <v>10</v>
      </c>
      <c r="G68" s="6">
        <v>-1.14199008421248</v>
      </c>
      <c r="H68" s="18" t="s">
        <v>11</v>
      </c>
      <c r="I68" s="6">
        <v>4.12082059178829</v>
      </c>
      <c r="J68" s="1" t="s">
        <v>12</v>
      </c>
      <c r="K68" s="6">
        <v>1.39017894713953</v>
      </c>
      <c r="L68" s="1" t="s">
        <v>13</v>
      </c>
      <c r="M68" s="6">
        <v>0.646216131312303</v>
      </c>
    </row>
    <row r="69" spans="1:13">
      <c r="A69" s="17" t="s">
        <v>37</v>
      </c>
      <c r="B69" s="14" t="s">
        <v>72</v>
      </c>
      <c r="C69" s="18" t="s">
        <v>14</v>
      </c>
      <c r="D69" s="18" t="s">
        <v>9</v>
      </c>
      <c r="E69" s="6">
        <v>-0.667875501381696</v>
      </c>
      <c r="F69" s="18" t="s">
        <v>10</v>
      </c>
      <c r="G69" s="6">
        <v>-0.672627288223306</v>
      </c>
      <c r="H69" s="18" t="s">
        <v>11</v>
      </c>
      <c r="I69" s="6">
        <v>0.39525977351962</v>
      </c>
      <c r="J69" s="1" t="s">
        <v>12</v>
      </c>
      <c r="K69" s="6">
        <v>1.64311799788783</v>
      </c>
      <c r="L69" s="1" t="s">
        <v>13</v>
      </c>
      <c r="M69" s="6">
        <v>0.646216131312303</v>
      </c>
    </row>
    <row r="70" spans="1:13">
      <c r="A70" s="17" t="s">
        <v>37</v>
      </c>
      <c r="B70" s="14" t="s">
        <v>72</v>
      </c>
      <c r="C70" s="18" t="s">
        <v>15</v>
      </c>
      <c r="D70" s="18" t="s">
        <v>9</v>
      </c>
      <c r="E70" s="6">
        <v>0.297842369674394</v>
      </c>
      <c r="F70" s="18" t="s">
        <v>10</v>
      </c>
      <c r="G70" s="6">
        <v>-1.68718859563088</v>
      </c>
      <c r="H70" s="18" t="s">
        <v>11</v>
      </c>
      <c r="I70" s="6">
        <v>-2.2820827900733</v>
      </c>
      <c r="J70" s="1" t="s">
        <v>12</v>
      </c>
      <c r="K70" s="6">
        <v>4.01338075042661</v>
      </c>
      <c r="L70" s="1" t="s">
        <v>13</v>
      </c>
      <c r="M70" s="6">
        <v>2.23719630334933</v>
      </c>
    </row>
    <row r="71" spans="1:13">
      <c r="A71" s="17" t="s">
        <v>38</v>
      </c>
      <c r="B71" s="14" t="s">
        <v>72</v>
      </c>
      <c r="C71" s="18" t="s">
        <v>8</v>
      </c>
      <c r="D71" s="18" t="s">
        <v>9</v>
      </c>
      <c r="E71" s="6">
        <v>-2.38945092540435</v>
      </c>
      <c r="F71" s="18" t="s">
        <v>10</v>
      </c>
      <c r="G71" s="6">
        <v>0.0865044052756685</v>
      </c>
      <c r="H71" s="18" t="s">
        <v>11</v>
      </c>
      <c r="I71" s="6">
        <v>3.86748490435132</v>
      </c>
      <c r="J71" s="1" t="s">
        <v>12</v>
      </c>
      <c r="K71" s="6">
        <v>0.845878478603275</v>
      </c>
      <c r="L71" s="1" t="s">
        <v>13</v>
      </c>
      <c r="M71" s="6">
        <v>0.567289600478986</v>
      </c>
    </row>
    <row r="72" spans="1:13">
      <c r="A72" s="17" t="s">
        <v>38</v>
      </c>
      <c r="B72" s="14" t="s">
        <v>72</v>
      </c>
      <c r="C72" s="18" t="s">
        <v>14</v>
      </c>
      <c r="D72" s="18" t="s">
        <v>9</v>
      </c>
      <c r="E72" s="6">
        <v>0.344725009047694</v>
      </c>
      <c r="F72" s="18" t="s">
        <v>10</v>
      </c>
      <c r="G72" s="6">
        <v>0.677264450426794</v>
      </c>
      <c r="H72" s="18" t="s">
        <v>11</v>
      </c>
      <c r="I72" s="6">
        <v>-0.255694463502458</v>
      </c>
      <c r="J72" s="1" t="s">
        <v>12</v>
      </c>
      <c r="K72" s="6">
        <v>2.90817119581938</v>
      </c>
      <c r="L72" s="1" t="s">
        <v>13</v>
      </c>
      <c r="M72" s="6">
        <v>0.567289600478986</v>
      </c>
    </row>
    <row r="73" spans="1:13">
      <c r="A73" s="17" t="s">
        <v>38</v>
      </c>
      <c r="B73" s="14" t="s">
        <v>72</v>
      </c>
      <c r="C73" s="18" t="s">
        <v>15</v>
      </c>
      <c r="D73" s="18" t="s">
        <v>9</v>
      </c>
      <c r="E73" s="6">
        <v>0.774071087689286</v>
      </c>
      <c r="F73" s="18" t="s">
        <v>10</v>
      </c>
      <c r="G73" s="6">
        <v>-2.08883127408563</v>
      </c>
      <c r="H73" s="18" t="s">
        <v>11</v>
      </c>
      <c r="I73" s="6">
        <v>-4.08668096303112</v>
      </c>
      <c r="J73" s="1" t="s">
        <v>12</v>
      </c>
      <c r="K73" s="6">
        <v>5.37809944742033</v>
      </c>
      <c r="L73" s="1" t="s">
        <v>13</v>
      </c>
      <c r="M73" s="6">
        <v>-0.0916621561677366</v>
      </c>
    </row>
    <row r="74" spans="1:13">
      <c r="A74" s="17" t="s">
        <v>39</v>
      </c>
      <c r="B74" s="14" t="s">
        <v>72</v>
      </c>
      <c r="C74" s="18" t="s">
        <v>8</v>
      </c>
      <c r="D74" s="18" t="s">
        <v>9</v>
      </c>
      <c r="E74" s="6">
        <v>1.22941652906395</v>
      </c>
      <c r="F74" s="18" t="s">
        <v>10</v>
      </c>
      <c r="G74" s="6">
        <v>-1.33741409778011</v>
      </c>
      <c r="H74" s="18" t="s">
        <v>11</v>
      </c>
      <c r="I74" s="6">
        <v>-0.615156590563836</v>
      </c>
      <c r="J74" s="1" t="s">
        <v>12</v>
      </c>
      <c r="K74" s="6">
        <v>-3.73019959007316</v>
      </c>
      <c r="L74" s="1" t="s">
        <v>13</v>
      </c>
      <c r="M74" s="6">
        <v>0.290256451761588</v>
      </c>
    </row>
    <row r="75" spans="1:13">
      <c r="A75" s="17" t="s">
        <v>39</v>
      </c>
      <c r="B75" s="14" t="s">
        <v>72</v>
      </c>
      <c r="C75" s="18" t="s">
        <v>14</v>
      </c>
      <c r="D75" s="18" t="s">
        <v>9</v>
      </c>
      <c r="E75" s="6">
        <v>-0.769917690073369</v>
      </c>
      <c r="F75" s="18" t="s">
        <v>10</v>
      </c>
      <c r="G75" s="6">
        <v>0.613018864938136</v>
      </c>
      <c r="H75" s="18" t="s">
        <v>11</v>
      </c>
      <c r="I75" s="6">
        <v>-2.55064307744587</v>
      </c>
      <c r="J75" s="1" t="s">
        <v>12</v>
      </c>
      <c r="K75" s="6">
        <v>-0.5799834550514</v>
      </c>
      <c r="L75" s="1" t="s">
        <v>13</v>
      </c>
      <c r="M75" s="6">
        <v>0.290256451761588</v>
      </c>
    </row>
    <row r="76" spans="1:13">
      <c r="A76" s="17" t="s">
        <v>39</v>
      </c>
      <c r="B76" s="14" t="s">
        <v>72</v>
      </c>
      <c r="C76" s="18" t="s">
        <v>15</v>
      </c>
      <c r="D76" s="18" t="s">
        <v>9</v>
      </c>
      <c r="E76" s="6">
        <v>0.786859745522857</v>
      </c>
      <c r="F76" s="18" t="s">
        <v>10</v>
      </c>
      <c r="G76" s="6">
        <v>-1.08142754727531</v>
      </c>
      <c r="H76" s="18" t="s">
        <v>11</v>
      </c>
      <c r="I76" s="6">
        <v>-0.00785830285586383</v>
      </c>
      <c r="J76" s="1" t="s">
        <v>12</v>
      </c>
      <c r="K76" s="6">
        <v>-6.46850450320321</v>
      </c>
      <c r="L76" s="1" t="s">
        <v>13</v>
      </c>
      <c r="M76" s="6">
        <v>0.135359962612309</v>
      </c>
    </row>
    <row r="77" spans="1:13">
      <c r="A77" s="17" t="s">
        <v>40</v>
      </c>
      <c r="B77" s="14" t="s">
        <v>72</v>
      </c>
      <c r="C77" s="18" t="s">
        <v>8</v>
      </c>
      <c r="D77" s="18" t="s">
        <v>9</v>
      </c>
      <c r="E77" s="6">
        <v>1.05562618588286</v>
      </c>
      <c r="F77" s="18" t="s">
        <v>10</v>
      </c>
      <c r="G77" s="6">
        <v>11.8365625466759</v>
      </c>
      <c r="H77" s="18" t="s">
        <v>11</v>
      </c>
      <c r="I77" s="6">
        <v>-4.55424181220838</v>
      </c>
      <c r="J77" s="1" t="s">
        <v>12</v>
      </c>
      <c r="K77" s="6">
        <v>8.01753568113772</v>
      </c>
      <c r="L77" s="1" t="s">
        <v>13</v>
      </c>
      <c r="M77" s="6">
        <v>0.0846564881366436</v>
      </c>
    </row>
    <row r="78" spans="1:13">
      <c r="A78" s="17" t="s">
        <v>40</v>
      </c>
      <c r="B78" s="14" t="s">
        <v>72</v>
      </c>
      <c r="C78" s="18" t="s">
        <v>14</v>
      </c>
      <c r="D78" s="18" t="s">
        <v>9</v>
      </c>
      <c r="E78" s="6">
        <v>0.136902716560482</v>
      </c>
      <c r="F78" s="18" t="s">
        <v>10</v>
      </c>
      <c r="G78" s="6">
        <v>3.75656895513154</v>
      </c>
      <c r="H78" s="18" t="s">
        <v>11</v>
      </c>
      <c r="I78" s="6">
        <v>3.11090061349894</v>
      </c>
      <c r="J78" s="1" t="s">
        <v>12</v>
      </c>
      <c r="K78" s="6">
        <v>-3.37606546662259</v>
      </c>
      <c r="L78" s="1" t="s">
        <v>13</v>
      </c>
      <c r="M78" s="6">
        <v>0.0846564881366436</v>
      </c>
    </row>
    <row r="79" spans="1:13">
      <c r="A79" s="17" t="s">
        <v>40</v>
      </c>
      <c r="B79" s="14" t="s">
        <v>72</v>
      </c>
      <c r="C79" s="18" t="s">
        <v>15</v>
      </c>
      <c r="D79" s="18" t="s">
        <v>9</v>
      </c>
      <c r="E79" s="6">
        <v>-2.87531014994948</v>
      </c>
      <c r="F79" s="18" t="s">
        <v>10</v>
      </c>
      <c r="G79" s="6">
        <v>11.3144119549446</v>
      </c>
      <c r="H79" s="18" t="s">
        <v>11</v>
      </c>
      <c r="I79" s="6">
        <v>2.60635090092617</v>
      </c>
      <c r="J79" s="1" t="s">
        <v>12</v>
      </c>
      <c r="K79" s="6">
        <v>3.42649155490206</v>
      </c>
      <c r="L79" s="1" t="s">
        <v>13</v>
      </c>
      <c r="M79" s="6">
        <v>-5.19504946120841</v>
      </c>
    </row>
    <row r="80" spans="1:13">
      <c r="A80" s="17" t="s">
        <v>41</v>
      </c>
      <c r="B80" s="14" t="s">
        <v>72</v>
      </c>
      <c r="C80" s="18" t="s">
        <v>8</v>
      </c>
      <c r="D80" s="18" t="s">
        <v>9</v>
      </c>
      <c r="E80" s="6">
        <v>1.92949640872087</v>
      </c>
      <c r="F80" s="18" t="s">
        <v>10</v>
      </c>
      <c r="G80" s="6">
        <v>-1.71000050509268</v>
      </c>
      <c r="H80" s="18" t="s">
        <v>11</v>
      </c>
      <c r="I80" s="6">
        <v>-0.505802716445102</v>
      </c>
      <c r="J80" s="1" t="s">
        <v>12</v>
      </c>
      <c r="K80" s="6">
        <v>-6.78692336016058</v>
      </c>
      <c r="L80" s="1" t="s">
        <v>13</v>
      </c>
      <c r="M80" s="6">
        <v>2.35906134325949</v>
      </c>
    </row>
    <row r="81" spans="1:13">
      <c r="A81" s="17" t="s">
        <v>41</v>
      </c>
      <c r="B81" s="14" t="s">
        <v>72</v>
      </c>
      <c r="C81" s="18" t="s">
        <v>14</v>
      </c>
      <c r="D81" s="18" t="s">
        <v>9</v>
      </c>
      <c r="E81" s="6">
        <v>-2.19987673099148</v>
      </c>
      <c r="F81" s="18" t="s">
        <v>10</v>
      </c>
      <c r="G81" s="6">
        <v>3.99757391220325</v>
      </c>
      <c r="H81" s="18" t="s">
        <v>11</v>
      </c>
      <c r="I81" s="6">
        <v>-4.61762876162213</v>
      </c>
      <c r="J81" s="1" t="s">
        <v>12</v>
      </c>
      <c r="K81" s="6">
        <v>1.9140967027198</v>
      </c>
      <c r="L81" s="1" t="s">
        <v>13</v>
      </c>
      <c r="M81" s="6">
        <v>2.35906134325949</v>
      </c>
    </row>
    <row r="82" spans="1:13">
      <c r="A82" s="17" t="s">
        <v>41</v>
      </c>
      <c r="B82" s="14" t="s">
        <v>72</v>
      </c>
      <c r="C82" s="18" t="s">
        <v>15</v>
      </c>
      <c r="D82" s="18" t="s">
        <v>9</v>
      </c>
      <c r="E82" s="6">
        <v>0.664534872354369</v>
      </c>
      <c r="F82" s="18" t="s">
        <v>10</v>
      </c>
      <c r="G82" s="6">
        <v>-2.94764597282534</v>
      </c>
      <c r="H82" s="18" t="s">
        <v>11</v>
      </c>
      <c r="I82" s="6">
        <v>-1.12501793615272</v>
      </c>
      <c r="J82" s="1" t="s">
        <v>12</v>
      </c>
      <c r="K82" s="6">
        <v>-7.9145532749688</v>
      </c>
      <c r="L82" s="1" t="s">
        <v>13</v>
      </c>
      <c r="M82" s="6">
        <v>-1.55269978215794</v>
      </c>
    </row>
    <row r="83" spans="1:13">
      <c r="A83" s="17" t="s">
        <v>42</v>
      </c>
      <c r="B83" s="14" t="s">
        <v>72</v>
      </c>
      <c r="C83" s="18" t="s">
        <v>8</v>
      </c>
      <c r="D83" s="18" t="s">
        <v>9</v>
      </c>
      <c r="E83" s="6">
        <v>6.10015686844391</v>
      </c>
      <c r="F83" s="18" t="s">
        <v>10</v>
      </c>
      <c r="G83" s="6">
        <v>-6.08154303626314</v>
      </c>
      <c r="H83" s="18" t="s">
        <v>11</v>
      </c>
      <c r="I83" s="6">
        <v>-5.43144180584394</v>
      </c>
      <c r="J83" s="1" t="s">
        <v>12</v>
      </c>
      <c r="K83" s="6">
        <v>-1.58017895320349</v>
      </c>
      <c r="L83" s="1" t="s">
        <v>13</v>
      </c>
      <c r="M83" s="6">
        <v>-4.55491214947689</v>
      </c>
    </row>
    <row r="84" spans="1:13">
      <c r="A84" s="17" t="s">
        <v>42</v>
      </c>
      <c r="B84" s="14" t="s">
        <v>72</v>
      </c>
      <c r="C84" s="18" t="s">
        <v>14</v>
      </c>
      <c r="D84" s="18" t="s">
        <v>9</v>
      </c>
      <c r="E84" s="6">
        <v>-4.34668709765231</v>
      </c>
      <c r="F84" s="18" t="s">
        <v>10</v>
      </c>
      <c r="G84" s="6">
        <v>4.92494318398817</v>
      </c>
      <c r="H84" s="18" t="s">
        <v>11</v>
      </c>
      <c r="I84" s="6">
        <v>-1.61512471150727</v>
      </c>
      <c r="J84" s="1" t="s">
        <v>12</v>
      </c>
      <c r="K84" s="6">
        <v>-2.28835778626087</v>
      </c>
      <c r="L84" s="1" t="s">
        <v>13</v>
      </c>
      <c r="M84" s="6">
        <v>-4.55491214947689</v>
      </c>
    </row>
    <row r="85" spans="1:13">
      <c r="A85" s="17" t="s">
        <v>42</v>
      </c>
      <c r="B85" s="14" t="s">
        <v>72</v>
      </c>
      <c r="C85" s="18" t="s">
        <v>15</v>
      </c>
      <c r="D85" s="18" t="s">
        <v>9</v>
      </c>
      <c r="E85" s="6">
        <v>3.97916472618256</v>
      </c>
      <c r="F85" s="18" t="s">
        <v>10</v>
      </c>
      <c r="G85" s="6">
        <v>-3.69468308304901</v>
      </c>
      <c r="H85" s="18" t="s">
        <v>11</v>
      </c>
      <c r="I85" s="6">
        <v>-5.16662968913806</v>
      </c>
      <c r="J85" s="1" t="s">
        <v>12</v>
      </c>
      <c r="K85" s="6">
        <v>-2.88874715823208</v>
      </c>
      <c r="L85" s="1" t="s">
        <v>13</v>
      </c>
      <c r="M85" s="6">
        <v>-1.26003817390217</v>
      </c>
    </row>
    <row r="86" spans="1:13">
      <c r="A86" s="17" t="s">
        <v>43</v>
      </c>
      <c r="B86" s="14" t="s">
        <v>72</v>
      </c>
      <c r="C86" s="18" t="s">
        <v>8</v>
      </c>
      <c r="D86" s="18" t="s">
        <v>9</v>
      </c>
      <c r="E86" s="6">
        <v>-3.23684765262649</v>
      </c>
      <c r="F86" s="18" t="s">
        <v>10</v>
      </c>
      <c r="G86" s="6">
        <v>11.9226968230976</v>
      </c>
      <c r="H86" s="18" t="s">
        <v>11</v>
      </c>
      <c r="I86" s="6">
        <v>0.551731073391546</v>
      </c>
      <c r="J86" s="1" t="s">
        <v>12</v>
      </c>
      <c r="K86" s="6">
        <v>6.15291103987205</v>
      </c>
      <c r="L86" s="1" t="s">
        <v>13</v>
      </c>
      <c r="M86" s="6">
        <v>0.927352376428946</v>
      </c>
    </row>
    <row r="87" spans="1:13">
      <c r="A87" s="17" t="s">
        <v>43</v>
      </c>
      <c r="B87" s="14" t="s">
        <v>72</v>
      </c>
      <c r="C87" s="18" t="s">
        <v>14</v>
      </c>
      <c r="D87" s="18" t="s">
        <v>9</v>
      </c>
      <c r="E87" s="6">
        <v>-10.4773094908651</v>
      </c>
      <c r="F87" s="18" t="s">
        <v>10</v>
      </c>
      <c r="G87" s="6">
        <v>11.4106285436217</v>
      </c>
      <c r="H87" s="18" t="s">
        <v>11</v>
      </c>
      <c r="I87" s="6">
        <v>9.69763272354087</v>
      </c>
      <c r="J87" s="1" t="s">
        <v>12</v>
      </c>
      <c r="K87" s="6">
        <v>-3.19313518605374</v>
      </c>
      <c r="L87" s="1" t="s">
        <v>13</v>
      </c>
      <c r="M87" s="6">
        <v>0.927352376428946</v>
      </c>
    </row>
    <row r="88" spans="1:13">
      <c r="A88" s="17" t="s">
        <v>43</v>
      </c>
      <c r="B88" s="14" t="s">
        <v>72</v>
      </c>
      <c r="C88" s="18" t="s">
        <v>15</v>
      </c>
      <c r="D88" s="18" t="s">
        <v>9</v>
      </c>
      <c r="E88" s="6">
        <v>-9.35051827487054</v>
      </c>
      <c r="F88" s="18" t="s">
        <v>10</v>
      </c>
      <c r="G88" s="6">
        <v>18.2398329427622</v>
      </c>
      <c r="H88" s="18" t="s">
        <v>11</v>
      </c>
      <c r="I88" s="6">
        <v>10.721361081584</v>
      </c>
      <c r="J88" s="1" t="s">
        <v>12</v>
      </c>
      <c r="K88" s="6">
        <v>-1.14311640051184</v>
      </c>
      <c r="L88" s="1" t="s">
        <v>13</v>
      </c>
      <c r="M88" s="6">
        <v>-3.687714712739</v>
      </c>
    </row>
    <row r="89" spans="1:13">
      <c r="A89" s="17" t="s">
        <v>44</v>
      </c>
      <c r="B89" s="14" t="s">
        <v>72</v>
      </c>
      <c r="C89" s="18" t="s">
        <v>8</v>
      </c>
      <c r="D89" s="18" t="s">
        <v>9</v>
      </c>
      <c r="E89" s="6">
        <v>0.853917529185095</v>
      </c>
      <c r="F89" s="18" t="s">
        <v>10</v>
      </c>
      <c r="G89" s="6">
        <v>-2.40398944682911</v>
      </c>
      <c r="H89" s="18" t="s">
        <v>11</v>
      </c>
      <c r="I89" s="6">
        <v>-1.27596375346381</v>
      </c>
      <c r="J89" s="1" t="s">
        <v>12</v>
      </c>
      <c r="K89" s="6">
        <v>-4.43387121952986</v>
      </c>
      <c r="L89" s="1" t="s">
        <v>13</v>
      </c>
      <c r="M89" s="6">
        <v>1.84318134806256</v>
      </c>
    </row>
    <row r="90" spans="1:13">
      <c r="A90" s="17" t="s">
        <v>44</v>
      </c>
      <c r="B90" s="14" t="s">
        <v>72</v>
      </c>
      <c r="C90" s="18" t="s">
        <v>14</v>
      </c>
      <c r="D90" s="18" t="s">
        <v>9</v>
      </c>
      <c r="E90" s="6">
        <v>4.66979034713898</v>
      </c>
      <c r="F90" s="18" t="s">
        <v>10</v>
      </c>
      <c r="G90" s="6">
        <v>-4.30890957907608</v>
      </c>
      <c r="H90" s="18" t="s">
        <v>11</v>
      </c>
      <c r="I90" s="6">
        <v>-2.93277657467505</v>
      </c>
      <c r="J90" s="1" t="s">
        <v>12</v>
      </c>
      <c r="K90" s="6">
        <v>0.0121141139923031</v>
      </c>
      <c r="L90" s="1" t="s">
        <v>13</v>
      </c>
      <c r="M90" s="6">
        <v>1.84318134806256</v>
      </c>
    </row>
    <row r="91" spans="1:13">
      <c r="A91" s="17" t="s">
        <v>44</v>
      </c>
      <c r="B91" s="14" t="s">
        <v>72</v>
      </c>
      <c r="C91" s="18" t="s">
        <v>15</v>
      </c>
      <c r="D91" s="18" t="s">
        <v>9</v>
      </c>
      <c r="E91" s="6">
        <v>3.90297515565859</v>
      </c>
      <c r="F91" s="18" t="s">
        <v>10</v>
      </c>
      <c r="G91" s="6">
        <v>-3.59077852645746</v>
      </c>
      <c r="H91" s="18" t="s">
        <v>11</v>
      </c>
      <c r="I91" s="6">
        <v>-1.46177279193755</v>
      </c>
      <c r="J91" s="1" t="s">
        <v>12</v>
      </c>
      <c r="K91" s="6">
        <v>-4.40311905477016</v>
      </c>
      <c r="L91" s="1" t="s">
        <v>13</v>
      </c>
      <c r="M91" s="6">
        <v>1.54669685577548</v>
      </c>
    </row>
    <row r="92" spans="1:13">
      <c r="A92" s="17" t="s">
        <v>45</v>
      </c>
      <c r="B92" s="14" t="s">
        <v>75</v>
      </c>
      <c r="C92" s="18" t="s">
        <v>8</v>
      </c>
      <c r="D92" s="18" t="s">
        <v>9</v>
      </c>
      <c r="E92" s="6">
        <v>-3.562801604964</v>
      </c>
      <c r="F92" s="18" t="s">
        <v>10</v>
      </c>
      <c r="G92" s="6">
        <v>0.0462533871475453</v>
      </c>
      <c r="H92" s="18" t="s">
        <v>11</v>
      </c>
      <c r="I92" s="6">
        <v>-0.782548783163969</v>
      </c>
      <c r="J92" s="1" t="s">
        <v>12</v>
      </c>
      <c r="K92" s="6">
        <v>-2.92375660160158</v>
      </c>
      <c r="L92" s="1" t="s">
        <v>13</v>
      </c>
      <c r="M92" s="6">
        <v>-4.32220393159508</v>
      </c>
    </row>
    <row r="93" spans="1:13">
      <c r="A93" s="17" t="s">
        <v>45</v>
      </c>
      <c r="B93" s="14" t="s">
        <v>75</v>
      </c>
      <c r="C93" s="18" t="s">
        <v>14</v>
      </c>
      <c r="D93" s="18" t="s">
        <v>9</v>
      </c>
      <c r="E93" s="6">
        <v>6.49698607368242</v>
      </c>
      <c r="F93" s="18" t="s">
        <v>10</v>
      </c>
      <c r="G93" s="6">
        <v>4.68786556652356</v>
      </c>
      <c r="H93" s="18" t="s">
        <v>11</v>
      </c>
      <c r="I93" s="6">
        <v>-5.89194760156157</v>
      </c>
      <c r="J93" s="1" t="s">
        <v>12</v>
      </c>
      <c r="K93" s="6">
        <v>3.37100507881229</v>
      </c>
      <c r="L93" s="1" t="s">
        <v>13</v>
      </c>
      <c r="M93" s="6">
        <v>-4.32220393159508</v>
      </c>
    </row>
    <row r="94" spans="1:13">
      <c r="A94" s="17" t="s">
        <v>45</v>
      </c>
      <c r="B94" s="14" t="s">
        <v>75</v>
      </c>
      <c r="C94" s="18" t="s">
        <v>15</v>
      </c>
      <c r="D94" s="18" t="s">
        <v>9</v>
      </c>
      <c r="E94" s="6">
        <v>0.159756887569973</v>
      </c>
      <c r="F94" s="18" t="s">
        <v>10</v>
      </c>
      <c r="G94" s="6">
        <v>1.72894749399083</v>
      </c>
      <c r="H94" s="18" t="s">
        <v>11</v>
      </c>
      <c r="I94" s="6">
        <v>-0.00313159425881523</v>
      </c>
      <c r="J94" s="1" t="s">
        <v>12</v>
      </c>
      <c r="K94" s="6">
        <v>-0.515441640591891</v>
      </c>
      <c r="L94" s="1" t="s">
        <v>13</v>
      </c>
      <c r="M94" s="6">
        <v>0.538376912744379</v>
      </c>
    </row>
    <row r="95" spans="1:13">
      <c r="A95" s="17" t="s">
        <v>46</v>
      </c>
      <c r="B95" s="14" t="s">
        <v>75</v>
      </c>
      <c r="C95" s="18" t="s">
        <v>8</v>
      </c>
      <c r="D95" s="18" t="s">
        <v>9</v>
      </c>
      <c r="E95" s="6">
        <v>-0.872470776273901</v>
      </c>
      <c r="F95" s="18" t="s">
        <v>10</v>
      </c>
      <c r="G95" s="6">
        <v>2.58443252229747</v>
      </c>
      <c r="H95" s="18" t="s">
        <v>11</v>
      </c>
      <c r="I95" s="6">
        <v>-0.0208506939324168</v>
      </c>
      <c r="J95" s="1" t="s">
        <v>12</v>
      </c>
      <c r="K95" s="6">
        <v>-0.192776104458311</v>
      </c>
      <c r="L95" s="1" t="s">
        <v>13</v>
      </c>
      <c r="M95" s="6">
        <v>0.0674301046895495</v>
      </c>
    </row>
    <row r="96" spans="1:13">
      <c r="A96" s="17" t="s">
        <v>46</v>
      </c>
      <c r="B96" s="14" t="s">
        <v>75</v>
      </c>
      <c r="C96" s="18" t="s">
        <v>14</v>
      </c>
      <c r="D96" s="18" t="s">
        <v>9</v>
      </c>
      <c r="E96" s="6">
        <v>-6.05731253573299</v>
      </c>
      <c r="F96" s="18" t="s">
        <v>10</v>
      </c>
      <c r="G96" s="6">
        <v>6.09083312245037</v>
      </c>
      <c r="H96" s="18" t="s">
        <v>11</v>
      </c>
      <c r="I96" s="6">
        <v>3.57224359573373</v>
      </c>
      <c r="J96" s="1" t="s">
        <v>12</v>
      </c>
      <c r="K96" s="6">
        <v>-2.74903612752763</v>
      </c>
      <c r="L96" s="1" t="s">
        <v>13</v>
      </c>
      <c r="M96" s="6">
        <v>0.0674301046895495</v>
      </c>
    </row>
    <row r="97" spans="1:13">
      <c r="A97" s="17" t="s">
        <v>46</v>
      </c>
      <c r="B97" s="14" t="s">
        <v>75</v>
      </c>
      <c r="C97" s="18" t="s">
        <v>15</v>
      </c>
      <c r="D97" s="18" t="s">
        <v>9</v>
      </c>
      <c r="E97" s="6">
        <v>-8.04899665053421</v>
      </c>
      <c r="F97" s="18" t="s">
        <v>10</v>
      </c>
      <c r="G97" s="6">
        <v>8.61666243585051</v>
      </c>
      <c r="H97" s="18" t="s">
        <v>11</v>
      </c>
      <c r="I97" s="6">
        <v>4.66377997159713</v>
      </c>
      <c r="J97" s="1" t="s">
        <v>12</v>
      </c>
      <c r="K97" s="6">
        <v>-3.10241819180706</v>
      </c>
      <c r="L97" s="1" t="s">
        <v>13</v>
      </c>
      <c r="M97" s="6">
        <v>2.22105054244661</v>
      </c>
    </row>
    <row r="98" spans="1:13">
      <c r="A98" s="17" t="s">
        <v>47</v>
      </c>
      <c r="B98" s="14" t="s">
        <v>75</v>
      </c>
      <c r="C98" s="18" t="s">
        <v>8</v>
      </c>
      <c r="D98" s="18" t="s">
        <v>9</v>
      </c>
      <c r="E98" s="6">
        <v>6.52113952042947</v>
      </c>
      <c r="F98" s="18" t="s">
        <v>10</v>
      </c>
      <c r="G98" s="6">
        <v>0.386922224687654</v>
      </c>
      <c r="H98" s="18" t="s">
        <v>11</v>
      </c>
      <c r="I98" s="6">
        <v>-6.56824659809191</v>
      </c>
      <c r="J98" s="1" t="s">
        <v>12</v>
      </c>
      <c r="K98" s="6">
        <v>1.57886471068571</v>
      </c>
      <c r="L98" s="1" t="s">
        <v>13</v>
      </c>
      <c r="M98" s="6">
        <v>-3.0171834943071</v>
      </c>
    </row>
    <row r="99" spans="1:13">
      <c r="A99" s="17" t="s">
        <v>47</v>
      </c>
      <c r="B99" s="14" t="s">
        <v>75</v>
      </c>
      <c r="C99" s="18" t="s">
        <v>14</v>
      </c>
      <c r="D99" s="18" t="s">
        <v>9</v>
      </c>
      <c r="E99" s="6">
        <v>-0.233153334770561</v>
      </c>
      <c r="F99" s="18" t="s">
        <v>10</v>
      </c>
      <c r="G99" s="6">
        <v>5.35811089022839</v>
      </c>
      <c r="H99" s="18" t="s">
        <v>11</v>
      </c>
      <c r="I99" s="6">
        <v>0.197302847034171</v>
      </c>
      <c r="J99" s="1" t="s">
        <v>12</v>
      </c>
      <c r="K99" s="6">
        <v>-5.45181435582886</v>
      </c>
      <c r="L99" s="1" t="s">
        <v>13</v>
      </c>
      <c r="M99" s="6">
        <v>-3.0171834943071</v>
      </c>
    </row>
    <row r="100" spans="1:13">
      <c r="A100" s="17" t="s">
        <v>47</v>
      </c>
      <c r="B100" s="14" t="s">
        <v>75</v>
      </c>
      <c r="C100" s="18" t="s">
        <v>15</v>
      </c>
      <c r="D100" s="18" t="s">
        <v>9</v>
      </c>
      <c r="E100" s="6">
        <v>4.83965156633775</v>
      </c>
      <c r="F100" s="18" t="s">
        <v>10</v>
      </c>
      <c r="G100" s="6">
        <v>3.48361480731424</v>
      </c>
      <c r="H100" s="18" t="s">
        <v>11</v>
      </c>
      <c r="I100" s="6">
        <v>-6.04086953183519</v>
      </c>
      <c r="J100" s="1" t="s">
        <v>12</v>
      </c>
      <c r="K100" s="6">
        <v>-4.70057731575985</v>
      </c>
      <c r="L100" s="1" t="s">
        <v>13</v>
      </c>
      <c r="M100" s="6">
        <v>-1.80543481085496</v>
      </c>
    </row>
    <row r="101" spans="1:13">
      <c r="A101" s="17" t="s">
        <v>48</v>
      </c>
      <c r="B101" s="14" t="s">
        <v>75</v>
      </c>
      <c r="C101" s="18" t="s">
        <v>8</v>
      </c>
      <c r="D101" s="18" t="s">
        <v>9</v>
      </c>
      <c r="E101" s="6">
        <v>2.65606501154337</v>
      </c>
      <c r="F101" s="18" t="s">
        <v>10</v>
      </c>
      <c r="G101" s="6">
        <v>-1.14914488562532</v>
      </c>
      <c r="H101" s="18" t="s">
        <v>11</v>
      </c>
      <c r="I101" s="6">
        <v>-1.30254345595099</v>
      </c>
      <c r="J101" s="1" t="s">
        <v>12</v>
      </c>
      <c r="K101" s="6">
        <v>1.68408611836479</v>
      </c>
      <c r="L101" s="1" t="s">
        <v>13</v>
      </c>
      <c r="M101" s="6">
        <v>3.72087079311224</v>
      </c>
    </row>
    <row r="102" spans="1:13">
      <c r="A102" s="17" t="s">
        <v>48</v>
      </c>
      <c r="B102" s="14" t="s">
        <v>75</v>
      </c>
      <c r="C102" s="18" t="s">
        <v>14</v>
      </c>
      <c r="D102" s="18" t="s">
        <v>9</v>
      </c>
      <c r="E102" s="6">
        <v>4.39855819481072</v>
      </c>
      <c r="F102" s="18" t="s">
        <v>10</v>
      </c>
      <c r="G102" s="6">
        <v>3.41787545290007</v>
      </c>
      <c r="H102" s="18" t="s">
        <v>11</v>
      </c>
      <c r="I102" s="6">
        <v>0.110985267859078</v>
      </c>
      <c r="J102" s="1" t="s">
        <v>12</v>
      </c>
      <c r="K102" s="6">
        <v>-5.90842153086008</v>
      </c>
      <c r="L102" s="1" t="s">
        <v>13</v>
      </c>
      <c r="M102" s="6">
        <v>3.72087079311224</v>
      </c>
    </row>
    <row r="103" spans="1:13">
      <c r="A103" s="17" t="s">
        <v>48</v>
      </c>
      <c r="B103" s="14" t="s">
        <v>75</v>
      </c>
      <c r="C103" s="18" t="s">
        <v>15</v>
      </c>
      <c r="D103" s="18" t="s">
        <v>9</v>
      </c>
      <c r="E103" s="6">
        <v>-1.33639935392611</v>
      </c>
      <c r="F103" s="18" t="s">
        <v>10</v>
      </c>
      <c r="G103" s="6">
        <v>6.70400156444366</v>
      </c>
      <c r="H103" s="18" t="s">
        <v>11</v>
      </c>
      <c r="I103" s="6">
        <v>0.589557723549701</v>
      </c>
      <c r="J103" s="1" t="s">
        <v>12</v>
      </c>
      <c r="K103" s="6">
        <v>-3.39475968103465</v>
      </c>
      <c r="L103" s="1" t="s">
        <v>13</v>
      </c>
      <c r="M103" s="6">
        <v>3.95660582749887</v>
      </c>
    </row>
    <row r="104" spans="1:13">
      <c r="A104" s="17" t="s">
        <v>49</v>
      </c>
      <c r="B104" s="14" t="s">
        <v>75</v>
      </c>
      <c r="C104" s="18" t="s">
        <v>8</v>
      </c>
      <c r="D104" s="18" t="s">
        <v>9</v>
      </c>
      <c r="E104" s="6">
        <v>-3.20542787771082</v>
      </c>
      <c r="F104" s="18" t="s">
        <v>10</v>
      </c>
      <c r="G104" s="6">
        <v>3.04571255368578</v>
      </c>
      <c r="H104" s="18" t="s">
        <v>11</v>
      </c>
      <c r="I104" s="6">
        <v>2.15112899733272</v>
      </c>
      <c r="J104" s="1" t="s">
        <v>12</v>
      </c>
      <c r="K104" s="6">
        <v>-1.26037852728833</v>
      </c>
      <c r="L104" s="1" t="s">
        <v>13</v>
      </c>
      <c r="M104" s="6">
        <v>-1.28136479910382</v>
      </c>
    </row>
    <row r="105" spans="1:13">
      <c r="A105" s="17" t="s">
        <v>49</v>
      </c>
      <c r="B105" s="14" t="s">
        <v>75</v>
      </c>
      <c r="C105" s="18" t="s">
        <v>14</v>
      </c>
      <c r="D105" s="18" t="s">
        <v>9</v>
      </c>
      <c r="E105" s="6">
        <v>-6.07670216186637</v>
      </c>
      <c r="F105" s="18" t="s">
        <v>10</v>
      </c>
      <c r="G105" s="6">
        <v>14.0063255646126</v>
      </c>
      <c r="H105" s="18" t="s">
        <v>11</v>
      </c>
      <c r="I105" s="6">
        <v>0.263091360133812</v>
      </c>
      <c r="J105" s="1" t="s">
        <v>12</v>
      </c>
      <c r="K105" s="6">
        <v>2.15606723510837</v>
      </c>
      <c r="L105" s="1" t="s">
        <v>13</v>
      </c>
      <c r="M105" s="6">
        <v>-1.28136479910382</v>
      </c>
    </row>
    <row r="106" spans="1:13">
      <c r="A106" s="17" t="s">
        <v>49</v>
      </c>
      <c r="B106" s="14" t="s">
        <v>75</v>
      </c>
      <c r="C106" s="18" t="s">
        <v>15</v>
      </c>
      <c r="D106" s="18" t="s">
        <v>9</v>
      </c>
      <c r="E106" s="6">
        <v>-7.02402140784294</v>
      </c>
      <c r="F106" s="18" t="s">
        <v>10</v>
      </c>
      <c r="G106" s="6">
        <v>11.1064693979673</v>
      </c>
      <c r="H106" s="18" t="s">
        <v>11</v>
      </c>
      <c r="I106" s="6">
        <v>3.66618755076308</v>
      </c>
      <c r="J106" s="1" t="s">
        <v>12</v>
      </c>
      <c r="K106" s="6">
        <v>-5.56071299881933</v>
      </c>
      <c r="L106" s="1" t="s">
        <v>13</v>
      </c>
      <c r="M106" s="6">
        <v>4.05428179286817</v>
      </c>
    </row>
    <row r="107" spans="1:13">
      <c r="A107" s="17" t="s">
        <v>50</v>
      </c>
      <c r="B107" s="14" t="s">
        <v>75</v>
      </c>
      <c r="C107" s="18" t="s">
        <v>8</v>
      </c>
      <c r="D107" s="18" t="s">
        <v>9</v>
      </c>
      <c r="E107" s="6">
        <v>8.24823210607549</v>
      </c>
      <c r="F107" s="18" t="s">
        <v>10</v>
      </c>
      <c r="G107" s="6">
        <v>-1.34378603763011</v>
      </c>
      <c r="H107" s="18" t="s">
        <v>11</v>
      </c>
      <c r="I107" s="6">
        <v>0.740364504092792</v>
      </c>
      <c r="J107" s="1" t="s">
        <v>12</v>
      </c>
      <c r="K107" s="6">
        <v>0.425453486986469</v>
      </c>
      <c r="L107" s="1" t="s">
        <v>13</v>
      </c>
      <c r="M107" s="6">
        <v>5.21643313322267</v>
      </c>
    </row>
    <row r="108" spans="1:13">
      <c r="A108" s="17" t="s">
        <v>50</v>
      </c>
      <c r="B108" s="14" t="s">
        <v>75</v>
      </c>
      <c r="C108" s="18" t="s">
        <v>14</v>
      </c>
      <c r="D108" s="18" t="s">
        <v>9</v>
      </c>
      <c r="E108" s="6">
        <v>0.702984479923643</v>
      </c>
      <c r="F108" s="18" t="s">
        <v>10</v>
      </c>
      <c r="G108" s="6">
        <v>6.49700500698336</v>
      </c>
      <c r="H108" s="18" t="s">
        <v>11</v>
      </c>
      <c r="I108" s="6">
        <v>3.44101125650408</v>
      </c>
      <c r="J108" s="1" t="s">
        <v>12</v>
      </c>
      <c r="K108" s="6">
        <v>-6.71981377791461</v>
      </c>
      <c r="L108" s="1" t="s">
        <v>13</v>
      </c>
      <c r="M108" s="6">
        <v>5.21643313322267</v>
      </c>
    </row>
    <row r="109" spans="1:13">
      <c r="A109" s="17" t="s">
        <v>50</v>
      </c>
      <c r="B109" s="14" t="s">
        <v>75</v>
      </c>
      <c r="C109" s="18" t="s">
        <v>15</v>
      </c>
      <c r="D109" s="18" t="s">
        <v>9</v>
      </c>
      <c r="E109" s="6">
        <v>3.34156723858327</v>
      </c>
      <c r="F109" s="18" t="s">
        <v>10</v>
      </c>
      <c r="G109" s="6">
        <v>6.17802336705824</v>
      </c>
      <c r="H109" s="18" t="s">
        <v>11</v>
      </c>
      <c r="I109" s="6">
        <v>4.09650020621612</v>
      </c>
      <c r="J109" s="1" t="s">
        <v>12</v>
      </c>
      <c r="K109" s="6">
        <v>-4.39772305983974</v>
      </c>
      <c r="L109" s="1" t="s">
        <v>13</v>
      </c>
      <c r="M109" s="6">
        <v>5.42842288403066</v>
      </c>
    </row>
    <row r="110" spans="1:13">
      <c r="A110" s="17" t="s">
        <v>51</v>
      </c>
      <c r="B110" s="14" t="s">
        <v>75</v>
      </c>
      <c r="C110" s="18" t="s">
        <v>8</v>
      </c>
      <c r="D110" s="18" t="s">
        <v>9</v>
      </c>
      <c r="E110" s="6">
        <v>3.87387717872157</v>
      </c>
      <c r="F110" s="18" t="s">
        <v>10</v>
      </c>
      <c r="G110" s="6">
        <v>0.788354314158683</v>
      </c>
      <c r="H110" s="18" t="s">
        <v>11</v>
      </c>
      <c r="I110" s="6">
        <v>-2.41130280231645</v>
      </c>
      <c r="J110" s="1" t="s">
        <v>12</v>
      </c>
      <c r="K110" s="6">
        <v>0.390444351881089</v>
      </c>
      <c r="L110" s="1" t="s">
        <v>13</v>
      </c>
      <c r="M110" s="6">
        <v>1.99016800564348</v>
      </c>
    </row>
    <row r="111" spans="1:13">
      <c r="A111" s="17" t="s">
        <v>51</v>
      </c>
      <c r="B111" s="14" t="s">
        <v>75</v>
      </c>
      <c r="C111" s="18" t="s">
        <v>14</v>
      </c>
      <c r="D111" s="18" t="s">
        <v>9</v>
      </c>
      <c r="E111" s="6">
        <v>0.514521345048274</v>
      </c>
      <c r="F111" s="18" t="s">
        <v>10</v>
      </c>
      <c r="G111" s="6">
        <v>3.45799377742475</v>
      </c>
      <c r="H111" s="18" t="s">
        <v>11</v>
      </c>
      <c r="I111" s="6">
        <v>-0.444975561555177</v>
      </c>
      <c r="J111" s="1" t="s">
        <v>12</v>
      </c>
      <c r="K111" s="6">
        <v>-3.61154802489079</v>
      </c>
      <c r="L111" s="1" t="s">
        <v>13</v>
      </c>
      <c r="M111" s="6">
        <v>1.99016800564348</v>
      </c>
    </row>
    <row r="112" spans="1:13">
      <c r="A112" s="17" t="s">
        <v>51</v>
      </c>
      <c r="B112" s="14" t="s">
        <v>75</v>
      </c>
      <c r="C112" s="18" t="s">
        <v>15</v>
      </c>
      <c r="D112" s="18" t="s">
        <v>9</v>
      </c>
      <c r="E112" s="6">
        <v>1.46018035712453</v>
      </c>
      <c r="F112" s="18" t="s">
        <v>10</v>
      </c>
      <c r="G112" s="6">
        <v>4.11741082858532</v>
      </c>
      <c r="H112" s="18" t="s">
        <v>11</v>
      </c>
      <c r="I112" s="6">
        <v>-1.47999360740642</v>
      </c>
      <c r="J112" s="1" t="s">
        <v>12</v>
      </c>
      <c r="K112" s="6">
        <v>-2.76634465024049</v>
      </c>
      <c r="L112" s="1" t="s">
        <v>13</v>
      </c>
      <c r="M112" s="6">
        <v>2.58543571860632</v>
      </c>
    </row>
    <row r="113" spans="1:13">
      <c r="A113" s="17" t="s">
        <v>52</v>
      </c>
      <c r="B113" s="14" t="s">
        <v>75</v>
      </c>
      <c r="C113" s="18" t="s">
        <v>8</v>
      </c>
      <c r="D113" s="18" t="s">
        <v>9</v>
      </c>
      <c r="E113" s="6">
        <v>1.03773596962553</v>
      </c>
      <c r="F113" s="18" t="s">
        <v>10</v>
      </c>
      <c r="G113" s="6">
        <v>-0.380747265542745</v>
      </c>
      <c r="H113" s="18" t="s">
        <v>11</v>
      </c>
      <c r="I113" s="6">
        <v>-0.397412875053572</v>
      </c>
      <c r="J113" s="1" t="s">
        <v>12</v>
      </c>
      <c r="K113" s="6">
        <v>0.618008415183919</v>
      </c>
      <c r="L113" s="1" t="s">
        <v>13</v>
      </c>
      <c r="M113" s="6">
        <v>3.20501560396421</v>
      </c>
    </row>
    <row r="114" spans="1:13">
      <c r="A114" s="17" t="s">
        <v>52</v>
      </c>
      <c r="B114" s="14" t="s">
        <v>75</v>
      </c>
      <c r="C114" s="18" t="s">
        <v>14</v>
      </c>
      <c r="D114" s="18" t="s">
        <v>9</v>
      </c>
      <c r="E114" s="6">
        <v>0.413843690837931</v>
      </c>
      <c r="F114" s="18" t="s">
        <v>10</v>
      </c>
      <c r="G114" s="6">
        <v>3.75152726718702</v>
      </c>
      <c r="H114" s="18" t="s">
        <v>11</v>
      </c>
      <c r="I114" s="6">
        <v>1.17438004234044</v>
      </c>
      <c r="J114" s="1" t="s">
        <v>12</v>
      </c>
      <c r="K114" s="6">
        <v>0.262254348177448</v>
      </c>
      <c r="L114" s="1" t="s">
        <v>13</v>
      </c>
      <c r="M114" s="6">
        <v>3.20501560396421</v>
      </c>
    </row>
    <row r="115" spans="1:13">
      <c r="A115" s="17" t="s">
        <v>52</v>
      </c>
      <c r="B115" s="14" t="s">
        <v>75</v>
      </c>
      <c r="C115" s="18" t="s">
        <v>15</v>
      </c>
      <c r="D115" s="18" t="s">
        <v>9</v>
      </c>
      <c r="E115" s="6">
        <v>1.76048786154206</v>
      </c>
      <c r="F115" s="18" t="s">
        <v>10</v>
      </c>
      <c r="G115" s="6">
        <v>1.16601053191999</v>
      </c>
      <c r="H115" s="18" t="s">
        <v>11</v>
      </c>
      <c r="I115" s="6">
        <v>0.771248108374845</v>
      </c>
      <c r="J115" s="1" t="s">
        <v>12</v>
      </c>
      <c r="K115" s="6">
        <v>-1.16386070135273</v>
      </c>
      <c r="L115" s="1" t="s">
        <v>13</v>
      </c>
      <c r="M115" s="6">
        <v>1.01714803222741</v>
      </c>
    </row>
    <row r="116" spans="1:13">
      <c r="A116" s="17" t="s">
        <v>53</v>
      </c>
      <c r="B116" s="14" t="s">
        <v>75</v>
      </c>
      <c r="C116" s="18" t="s">
        <v>8</v>
      </c>
      <c r="D116" s="18" t="s">
        <v>9</v>
      </c>
      <c r="E116" s="6">
        <v>-0.785955208173577</v>
      </c>
      <c r="F116" s="18" t="s">
        <v>10</v>
      </c>
      <c r="G116" s="6">
        <v>-1.22555443018114</v>
      </c>
      <c r="H116" s="18" t="s">
        <v>11</v>
      </c>
      <c r="I116" s="6">
        <v>-2.9544923071906</v>
      </c>
      <c r="J116" s="1" t="s">
        <v>12</v>
      </c>
      <c r="K116" s="6">
        <v>-1.59876366891143</v>
      </c>
      <c r="L116" s="1" t="s">
        <v>13</v>
      </c>
      <c r="M116" s="6">
        <v>-0.55380601242878</v>
      </c>
    </row>
    <row r="117" spans="1:13">
      <c r="A117" s="17" t="s">
        <v>53</v>
      </c>
      <c r="B117" s="14" t="s">
        <v>75</v>
      </c>
      <c r="C117" s="18" t="s">
        <v>14</v>
      </c>
      <c r="D117" s="18" t="s">
        <v>9</v>
      </c>
      <c r="E117" s="6">
        <v>1.90943476265426</v>
      </c>
      <c r="F117" s="18" t="s">
        <v>10</v>
      </c>
      <c r="G117" s="6">
        <v>-2.13078164371012</v>
      </c>
      <c r="H117" s="18" t="s">
        <v>11</v>
      </c>
      <c r="I117" s="6">
        <v>-0.117236481026021</v>
      </c>
      <c r="J117" s="1" t="s">
        <v>12</v>
      </c>
      <c r="K117" s="6">
        <v>-1.68977021483816</v>
      </c>
      <c r="L117" s="1" t="s">
        <v>13</v>
      </c>
      <c r="M117" s="6">
        <v>-0.55380601242878</v>
      </c>
    </row>
    <row r="118" spans="1:13">
      <c r="A118" s="17" t="s">
        <v>53</v>
      </c>
      <c r="B118" s="14" t="s">
        <v>75</v>
      </c>
      <c r="C118" s="18" t="s">
        <v>15</v>
      </c>
      <c r="D118" s="18" t="s">
        <v>9</v>
      </c>
      <c r="E118" s="6">
        <v>1.52411319662176</v>
      </c>
      <c r="F118" s="18" t="s">
        <v>10</v>
      </c>
      <c r="G118" s="6">
        <v>-2.8644558258397</v>
      </c>
      <c r="H118" s="18" t="s">
        <v>11</v>
      </c>
      <c r="I118" s="6">
        <v>-2.87811615807066</v>
      </c>
      <c r="J118" s="1" t="s">
        <v>12</v>
      </c>
      <c r="K118" s="6">
        <v>-2.64767452600903</v>
      </c>
      <c r="L118" s="1" t="s">
        <v>13</v>
      </c>
      <c r="M118" s="6">
        <v>-0.878552853265744</v>
      </c>
    </row>
    <row r="119" spans="1:13">
      <c r="A119" s="17" t="s">
        <v>54</v>
      </c>
      <c r="B119" s="14" t="s">
        <v>75</v>
      </c>
      <c r="C119" s="18" t="s">
        <v>8</v>
      </c>
      <c r="D119" s="18" t="s">
        <v>9</v>
      </c>
      <c r="E119" s="6">
        <v>1.13199174522543</v>
      </c>
      <c r="F119" s="18" t="s">
        <v>10</v>
      </c>
      <c r="G119" s="6">
        <v>-0.382160129048976</v>
      </c>
      <c r="H119" s="18" t="s">
        <v>11</v>
      </c>
      <c r="I119" s="6">
        <v>0.0505294064896497</v>
      </c>
      <c r="J119" s="1" t="s">
        <v>12</v>
      </c>
      <c r="K119" s="6">
        <v>0.413747316667267</v>
      </c>
      <c r="L119" s="1" t="s">
        <v>13</v>
      </c>
      <c r="M119" s="6">
        <v>3.51785431790679</v>
      </c>
    </row>
    <row r="120" spans="1:13">
      <c r="A120" s="17" t="s">
        <v>54</v>
      </c>
      <c r="B120" s="14" t="s">
        <v>75</v>
      </c>
      <c r="C120" s="18" t="s">
        <v>14</v>
      </c>
      <c r="D120" s="18" t="s">
        <v>9</v>
      </c>
      <c r="E120" s="6">
        <v>0.684005664691838</v>
      </c>
      <c r="F120" s="18" t="s">
        <v>10</v>
      </c>
      <c r="G120" s="6">
        <v>2.12676763387486</v>
      </c>
      <c r="H120" s="18" t="s">
        <v>11</v>
      </c>
      <c r="I120" s="6">
        <v>0.924965853692101</v>
      </c>
      <c r="J120" s="1" t="s">
        <v>12</v>
      </c>
      <c r="K120" s="6">
        <v>-1.08031796757786</v>
      </c>
      <c r="L120" s="1" t="s">
        <v>13</v>
      </c>
      <c r="M120" s="6">
        <v>3.51785431790679</v>
      </c>
    </row>
    <row r="121" spans="1:13">
      <c r="A121" s="17" t="s">
        <v>54</v>
      </c>
      <c r="B121" s="14" t="s">
        <v>75</v>
      </c>
      <c r="C121" s="18" t="s">
        <v>15</v>
      </c>
      <c r="D121" s="18" t="s">
        <v>9</v>
      </c>
      <c r="E121" s="6">
        <v>1.91327910749452</v>
      </c>
      <c r="F121" s="18" t="s">
        <v>10</v>
      </c>
      <c r="G121" s="6">
        <v>0.842942329148925</v>
      </c>
      <c r="H121" s="18" t="s">
        <v>11</v>
      </c>
      <c r="I121" s="6">
        <v>0.834000187788026</v>
      </c>
      <c r="J121" s="1" t="s">
        <v>12</v>
      </c>
      <c r="K121" s="6">
        <v>-1.49602253199789</v>
      </c>
      <c r="L121" s="1" t="s">
        <v>13</v>
      </c>
      <c r="M121" s="6">
        <v>1.9584507004575</v>
      </c>
    </row>
    <row r="122" spans="1:13">
      <c r="A122" s="17" t="s">
        <v>55</v>
      </c>
      <c r="B122" s="14" t="s">
        <v>75</v>
      </c>
      <c r="C122" s="18" t="s">
        <v>8</v>
      </c>
      <c r="D122" s="18" t="s">
        <v>9</v>
      </c>
      <c r="E122" s="6">
        <v>-0.0239671021392647</v>
      </c>
      <c r="F122" s="18" t="s">
        <v>10</v>
      </c>
      <c r="G122" s="6">
        <v>-3.19796295908365</v>
      </c>
      <c r="H122" s="18" t="s">
        <v>11</v>
      </c>
      <c r="I122" s="6">
        <v>-1.9340395873383</v>
      </c>
      <c r="J122" s="1" t="s">
        <v>12</v>
      </c>
      <c r="K122" s="6">
        <v>-0.259515635716779</v>
      </c>
      <c r="L122" s="1" t="s">
        <v>13</v>
      </c>
      <c r="M122" s="6">
        <v>1.2635483164823</v>
      </c>
    </row>
    <row r="123" spans="1:13">
      <c r="A123" s="17" t="s">
        <v>55</v>
      </c>
      <c r="B123" s="14" t="s">
        <v>75</v>
      </c>
      <c r="C123" s="18" t="s">
        <v>14</v>
      </c>
      <c r="D123" s="18" t="s">
        <v>9</v>
      </c>
      <c r="E123" s="6">
        <v>-0.264776730808495</v>
      </c>
      <c r="F123" s="18" t="s">
        <v>10</v>
      </c>
      <c r="G123" s="6">
        <v>0.473198405807028</v>
      </c>
      <c r="H123" s="18" t="s">
        <v>11</v>
      </c>
      <c r="I123" s="6">
        <v>2.33808802251052</v>
      </c>
      <c r="J123" s="1" t="s">
        <v>12</v>
      </c>
      <c r="K123" s="6">
        <v>1.68543530963243</v>
      </c>
      <c r="L123" s="1" t="s">
        <v>13</v>
      </c>
      <c r="M123" s="6">
        <v>1.2635483164823</v>
      </c>
    </row>
    <row r="124" spans="1:13">
      <c r="A124" s="17" t="s">
        <v>55</v>
      </c>
      <c r="B124" s="14" t="s">
        <v>75</v>
      </c>
      <c r="C124" s="18" t="s">
        <v>15</v>
      </c>
      <c r="D124" s="18" t="s">
        <v>9</v>
      </c>
      <c r="E124" s="6">
        <v>1.17612618131161</v>
      </c>
      <c r="F124" s="18" t="s">
        <v>10</v>
      </c>
      <c r="G124" s="6">
        <v>-2.02705666996171</v>
      </c>
      <c r="H124" s="18" t="s">
        <v>11</v>
      </c>
      <c r="I124" s="6">
        <v>-1.08024580826037</v>
      </c>
      <c r="J124" s="1" t="s">
        <v>12</v>
      </c>
      <c r="K124" s="6">
        <v>-1.29830104602876</v>
      </c>
      <c r="L124" s="1" t="s">
        <v>13</v>
      </c>
      <c r="M124" s="6">
        <v>1.96311041844355</v>
      </c>
    </row>
    <row r="125" spans="1:13">
      <c r="A125" s="17" t="s">
        <v>56</v>
      </c>
      <c r="B125" s="14" t="s">
        <v>75</v>
      </c>
      <c r="C125" s="18" t="s">
        <v>8</v>
      </c>
      <c r="D125" s="18" t="s">
        <v>9</v>
      </c>
      <c r="E125" s="6">
        <v>6.12400499731753</v>
      </c>
      <c r="F125" s="18" t="s">
        <v>10</v>
      </c>
      <c r="G125" s="6">
        <v>2.88722027671029</v>
      </c>
      <c r="H125" s="18" t="s">
        <v>11</v>
      </c>
      <c r="I125" s="6">
        <v>1.22356386982711</v>
      </c>
      <c r="J125" s="1" t="s">
        <v>12</v>
      </c>
      <c r="K125" s="6">
        <v>0.400068539642461</v>
      </c>
      <c r="L125" s="1" t="s">
        <v>13</v>
      </c>
      <c r="M125" s="6">
        <v>-3.49882208693658</v>
      </c>
    </row>
    <row r="126" spans="1:13">
      <c r="A126" s="17" t="s">
        <v>56</v>
      </c>
      <c r="B126" s="14" t="s">
        <v>75</v>
      </c>
      <c r="C126" s="18" t="s">
        <v>14</v>
      </c>
      <c r="D126" s="18" t="s">
        <v>9</v>
      </c>
      <c r="E126" s="6">
        <v>3.7046602773945</v>
      </c>
      <c r="F126" s="18" t="s">
        <v>10</v>
      </c>
      <c r="G126" s="6">
        <v>-8.81930878563893</v>
      </c>
      <c r="H126" s="18" t="s">
        <v>11</v>
      </c>
      <c r="I126" s="6">
        <v>0.921380340299829</v>
      </c>
      <c r="J126" s="1" t="s">
        <v>12</v>
      </c>
      <c r="K126" s="6">
        <v>-2.36521098538081</v>
      </c>
      <c r="L126" s="1" t="s">
        <v>13</v>
      </c>
      <c r="M126" s="6">
        <v>-3.49882208693658</v>
      </c>
    </row>
    <row r="127" spans="1:13">
      <c r="A127" s="17" t="s">
        <v>56</v>
      </c>
      <c r="B127" s="14" t="s">
        <v>75</v>
      </c>
      <c r="C127" s="18" t="s">
        <v>15</v>
      </c>
      <c r="D127" s="18" t="s">
        <v>9</v>
      </c>
      <c r="E127" s="6">
        <v>5.1979788028565</v>
      </c>
      <c r="F127" s="18" t="s">
        <v>10</v>
      </c>
      <c r="G127" s="6">
        <v>-2.27918139135216</v>
      </c>
      <c r="H127" s="18" t="s">
        <v>11</v>
      </c>
      <c r="I127" s="6">
        <v>2.7460479662608</v>
      </c>
      <c r="J127" s="1" t="s">
        <v>12</v>
      </c>
      <c r="K127" s="6">
        <v>1.14689182781186</v>
      </c>
      <c r="L127" s="1" t="s">
        <v>13</v>
      </c>
      <c r="M127" s="6">
        <v>-0.465336782072203</v>
      </c>
    </row>
    <row r="128" spans="1:13">
      <c r="A128" s="17" t="s">
        <v>57</v>
      </c>
      <c r="B128" s="14" t="s">
        <v>75</v>
      </c>
      <c r="C128" s="18" t="s">
        <v>8</v>
      </c>
      <c r="D128" s="18" t="s">
        <v>9</v>
      </c>
      <c r="E128" s="6">
        <v>1.13753302154801</v>
      </c>
      <c r="F128" s="18" t="s">
        <v>10</v>
      </c>
      <c r="G128" s="6">
        <v>-0.368818565156081</v>
      </c>
      <c r="H128" s="18" t="s">
        <v>11</v>
      </c>
      <c r="I128" s="6">
        <v>-1.3911643761176</v>
      </c>
      <c r="J128" s="1" t="s">
        <v>12</v>
      </c>
      <c r="K128" s="6">
        <v>-1.19326556467027</v>
      </c>
      <c r="L128" s="1" t="s">
        <v>13</v>
      </c>
      <c r="M128" s="6">
        <v>2.64674029240485</v>
      </c>
    </row>
    <row r="129" spans="1:13">
      <c r="A129" s="17" t="s">
        <v>57</v>
      </c>
      <c r="B129" s="14" t="s">
        <v>75</v>
      </c>
      <c r="C129" s="18" t="s">
        <v>14</v>
      </c>
      <c r="D129" s="18" t="s">
        <v>9</v>
      </c>
      <c r="E129" s="6">
        <v>-0.260506709447932</v>
      </c>
      <c r="F129" s="18" t="s">
        <v>10</v>
      </c>
      <c r="G129" s="6">
        <v>2.58172149785259</v>
      </c>
      <c r="H129" s="18" t="s">
        <v>11</v>
      </c>
      <c r="I129" s="6">
        <v>2.36055888430878</v>
      </c>
      <c r="J129" s="1" t="s">
        <v>12</v>
      </c>
      <c r="K129" s="6">
        <v>0.788999300539754</v>
      </c>
      <c r="L129" s="1" t="s">
        <v>13</v>
      </c>
      <c r="M129" s="6">
        <v>2.64674029240485</v>
      </c>
    </row>
    <row r="130" spans="1:13">
      <c r="A130" s="17" t="s">
        <v>57</v>
      </c>
      <c r="B130" s="14" t="s">
        <v>75</v>
      </c>
      <c r="C130" s="18" t="s">
        <v>15</v>
      </c>
      <c r="D130" s="18" t="s">
        <v>9</v>
      </c>
      <c r="E130" s="6">
        <v>1.7871583659148</v>
      </c>
      <c r="F130" s="18" t="s">
        <v>10</v>
      </c>
      <c r="G130" s="6">
        <v>0.153315412049908</v>
      </c>
      <c r="H130" s="18" t="s">
        <v>11</v>
      </c>
      <c r="I130" s="6">
        <v>1.8189565055242</v>
      </c>
      <c r="J130" s="1" t="s">
        <v>12</v>
      </c>
      <c r="K130" s="6">
        <v>-1.59504649169745</v>
      </c>
      <c r="L130" s="1" t="s">
        <v>13</v>
      </c>
      <c r="M130" s="6">
        <v>1.00458076203726</v>
      </c>
    </row>
    <row r="131" spans="1:13">
      <c r="A131" s="17" t="s">
        <v>58</v>
      </c>
      <c r="B131" s="14" t="s">
        <v>75</v>
      </c>
      <c r="C131" s="18" t="s">
        <v>8</v>
      </c>
      <c r="D131" s="18" t="s">
        <v>9</v>
      </c>
      <c r="E131" s="6">
        <v>1.80838209878691</v>
      </c>
      <c r="F131" s="18" t="s">
        <v>10</v>
      </c>
      <c r="G131" s="6">
        <v>0.660670500269178</v>
      </c>
      <c r="H131" s="18" t="s">
        <v>11</v>
      </c>
      <c r="I131" s="6">
        <v>-0.438619623716707</v>
      </c>
      <c r="J131" s="1" t="s">
        <v>12</v>
      </c>
      <c r="K131" s="6">
        <v>-1.66423225959213</v>
      </c>
      <c r="L131" s="1" t="s">
        <v>13</v>
      </c>
      <c r="M131" s="6">
        <v>-0.0909227060889245</v>
      </c>
    </row>
    <row r="132" spans="1:13">
      <c r="A132" s="17" t="s">
        <v>58</v>
      </c>
      <c r="B132" s="14" t="s">
        <v>75</v>
      </c>
      <c r="C132" s="18" t="s">
        <v>14</v>
      </c>
      <c r="D132" s="18" t="s">
        <v>9</v>
      </c>
      <c r="E132" s="6">
        <v>0.274816801604527</v>
      </c>
      <c r="F132" s="18" t="s">
        <v>10</v>
      </c>
      <c r="G132" s="6">
        <v>0.549382287212861</v>
      </c>
      <c r="H132" s="18" t="s">
        <v>11</v>
      </c>
      <c r="I132" s="6">
        <v>-0.0762156939476634</v>
      </c>
      <c r="J132" s="1" t="s">
        <v>12</v>
      </c>
      <c r="K132" s="6">
        <v>0.114801868486307</v>
      </c>
      <c r="L132" s="1" t="s">
        <v>13</v>
      </c>
      <c r="M132" s="6">
        <v>-0.0909227060889245</v>
      </c>
    </row>
    <row r="133" spans="1:13">
      <c r="A133" s="17" t="s">
        <v>58</v>
      </c>
      <c r="B133" s="14" t="s">
        <v>75</v>
      </c>
      <c r="C133" s="18" t="s">
        <v>15</v>
      </c>
      <c r="D133" s="18" t="s">
        <v>9</v>
      </c>
      <c r="E133" s="6">
        <v>1.81747320485036</v>
      </c>
      <c r="F133" s="18" t="s">
        <v>10</v>
      </c>
      <c r="G133" s="6">
        <v>0.74103374886274</v>
      </c>
      <c r="H133" s="18" t="s">
        <v>11</v>
      </c>
      <c r="I133" s="6">
        <v>1.21224129287395</v>
      </c>
      <c r="J133" s="1" t="s">
        <v>12</v>
      </c>
      <c r="K133" s="6">
        <v>-1.42009531522886</v>
      </c>
      <c r="L133" s="1" t="s">
        <v>13</v>
      </c>
      <c r="M133" s="6">
        <v>0.209283161267125</v>
      </c>
    </row>
    <row r="134" spans="1:13">
      <c r="A134" s="17" t="s">
        <v>59</v>
      </c>
      <c r="B134" s="14" t="s">
        <v>75</v>
      </c>
      <c r="C134" s="18" t="s">
        <v>8</v>
      </c>
      <c r="D134" s="18" t="s">
        <v>9</v>
      </c>
      <c r="E134" s="6">
        <v>3.64283558147233</v>
      </c>
      <c r="F134" s="18" t="s">
        <v>10</v>
      </c>
      <c r="G134" s="6">
        <v>4.64220261859364</v>
      </c>
      <c r="H134" s="18" t="s">
        <v>11</v>
      </c>
      <c r="I134" s="6">
        <v>-5.05244917393705</v>
      </c>
      <c r="J134" s="1" t="s">
        <v>12</v>
      </c>
      <c r="K134" s="6">
        <v>3.32763584165008</v>
      </c>
      <c r="L134" s="1" t="s">
        <v>13</v>
      </c>
      <c r="M134" s="6">
        <v>-1.24249114699296</v>
      </c>
    </row>
    <row r="135" spans="1:13">
      <c r="A135" s="17" t="s">
        <v>59</v>
      </c>
      <c r="B135" s="14" t="s">
        <v>75</v>
      </c>
      <c r="C135" s="18" t="s">
        <v>14</v>
      </c>
      <c r="D135" s="18" t="s">
        <v>9</v>
      </c>
      <c r="E135" s="6">
        <v>-0.571305589033482</v>
      </c>
      <c r="F135" s="18" t="s">
        <v>10</v>
      </c>
      <c r="G135" s="6">
        <v>3.56049386204972</v>
      </c>
      <c r="H135" s="18" t="s">
        <v>11</v>
      </c>
      <c r="I135" s="6">
        <v>6.83235092671669</v>
      </c>
      <c r="J135" s="1" t="s">
        <v>12</v>
      </c>
      <c r="K135" s="6">
        <v>-3.3720980195605</v>
      </c>
      <c r="L135" s="1" t="s">
        <v>13</v>
      </c>
      <c r="M135" s="6">
        <v>-1.24249114699296</v>
      </c>
    </row>
    <row r="136" spans="1:13">
      <c r="A136" s="17" t="s">
        <v>59</v>
      </c>
      <c r="B136" s="14" t="s">
        <v>75</v>
      </c>
      <c r="C136" s="18" t="s">
        <v>15</v>
      </c>
      <c r="D136" s="18" t="s">
        <v>9</v>
      </c>
      <c r="E136" s="6">
        <v>1.25243868670072</v>
      </c>
      <c r="F136" s="18" t="s">
        <v>10</v>
      </c>
      <c r="G136" s="6">
        <v>7.45390455181603</v>
      </c>
      <c r="H136" s="18" t="s">
        <v>11</v>
      </c>
      <c r="I136" s="6">
        <v>3.57481486072799</v>
      </c>
      <c r="J136" s="1" t="s">
        <v>12</v>
      </c>
      <c r="K136" s="6">
        <v>1.15960209014178</v>
      </c>
      <c r="L136" s="1" t="s">
        <v>13</v>
      </c>
      <c r="M136" s="6">
        <v>0.256864675955306</v>
      </c>
    </row>
    <row r="137" spans="1:13">
      <c r="A137" s="17" t="s">
        <v>60</v>
      </c>
      <c r="B137" s="14" t="s">
        <v>75</v>
      </c>
      <c r="C137" s="18" t="s">
        <v>8</v>
      </c>
      <c r="D137" s="18" t="s">
        <v>9</v>
      </c>
      <c r="E137" s="6">
        <v>-0.255009150843217</v>
      </c>
      <c r="F137" s="18" t="s">
        <v>10</v>
      </c>
      <c r="G137" s="6">
        <v>1.40812137470495</v>
      </c>
      <c r="H137" s="18" t="s">
        <v>11</v>
      </c>
      <c r="I137" s="6">
        <v>-2.44411616216412</v>
      </c>
      <c r="J137" s="1" t="s">
        <v>12</v>
      </c>
      <c r="K137" s="6">
        <v>-0.0693555800595004</v>
      </c>
      <c r="L137" s="1" t="s">
        <v>13</v>
      </c>
      <c r="M137" s="6">
        <v>0.61771916085099</v>
      </c>
    </row>
    <row r="138" spans="1:13">
      <c r="A138" s="17" t="s">
        <v>60</v>
      </c>
      <c r="B138" s="14" t="s">
        <v>75</v>
      </c>
      <c r="C138" s="18" t="s">
        <v>14</v>
      </c>
      <c r="D138" s="18" t="s">
        <v>9</v>
      </c>
      <c r="E138" s="6">
        <v>-0.724757779867527</v>
      </c>
      <c r="F138" s="18" t="s">
        <v>10</v>
      </c>
      <c r="G138" s="6">
        <v>0.484720586505198</v>
      </c>
      <c r="H138" s="18" t="s">
        <v>11</v>
      </c>
      <c r="I138" s="6">
        <v>0.479519110431536</v>
      </c>
      <c r="J138" s="1" t="s">
        <v>12</v>
      </c>
      <c r="K138" s="6">
        <v>-0.907973060089378</v>
      </c>
      <c r="L138" s="1" t="s">
        <v>13</v>
      </c>
      <c r="M138" s="6">
        <v>0.61771916085099</v>
      </c>
    </row>
    <row r="139" spans="1:13">
      <c r="A139" s="17" t="s">
        <v>60</v>
      </c>
      <c r="B139" s="14" t="s">
        <v>75</v>
      </c>
      <c r="C139" s="18" t="s">
        <v>15</v>
      </c>
      <c r="D139" s="18" t="s">
        <v>9</v>
      </c>
      <c r="E139" s="6">
        <v>-0.398239509682714</v>
      </c>
      <c r="F139" s="18" t="s">
        <v>10</v>
      </c>
      <c r="G139" s="6">
        <v>1.20791830504321</v>
      </c>
      <c r="H139" s="18" t="s">
        <v>11</v>
      </c>
      <c r="I139" s="6">
        <v>-1.04698822539973</v>
      </c>
      <c r="J139" s="1" t="s">
        <v>12</v>
      </c>
      <c r="K139" s="6">
        <v>0.0492233584761842</v>
      </c>
      <c r="L139" s="1" t="s">
        <v>13</v>
      </c>
      <c r="M139" s="6">
        <v>0.564409342194073</v>
      </c>
    </row>
    <row r="140" spans="1:13">
      <c r="A140" s="17" t="s">
        <v>61</v>
      </c>
      <c r="B140" s="14" t="s">
        <v>75</v>
      </c>
      <c r="C140" s="18" t="s">
        <v>8</v>
      </c>
      <c r="D140" s="18" t="s">
        <v>9</v>
      </c>
      <c r="E140" s="6">
        <v>7.07729656229588</v>
      </c>
      <c r="F140" s="18" t="s">
        <v>10</v>
      </c>
      <c r="G140" s="6">
        <v>2.41687069664356</v>
      </c>
      <c r="H140" s="18" t="s">
        <v>11</v>
      </c>
      <c r="I140" s="6">
        <v>-3.49844076444419</v>
      </c>
      <c r="J140" s="1" t="s">
        <v>12</v>
      </c>
      <c r="K140" s="6">
        <v>3.50474201207667</v>
      </c>
      <c r="L140" s="1" t="s">
        <v>13</v>
      </c>
      <c r="M140" s="6">
        <v>5.08305073236005</v>
      </c>
    </row>
    <row r="141" spans="1:13">
      <c r="A141" s="17" t="s">
        <v>61</v>
      </c>
      <c r="B141" s="14" t="s">
        <v>75</v>
      </c>
      <c r="C141" s="18" t="s">
        <v>14</v>
      </c>
      <c r="D141" s="18" t="s">
        <v>9</v>
      </c>
      <c r="E141" s="6">
        <v>-0.63443844074858</v>
      </c>
      <c r="F141" s="18" t="s">
        <v>10</v>
      </c>
      <c r="G141" s="6">
        <v>3.09880990966233</v>
      </c>
      <c r="H141" s="18" t="s">
        <v>11</v>
      </c>
      <c r="I141" s="6">
        <v>6.89100921668693</v>
      </c>
      <c r="J141" s="1" t="s">
        <v>12</v>
      </c>
      <c r="K141" s="6">
        <v>-3.94127860135467</v>
      </c>
      <c r="L141" s="1" t="s">
        <v>13</v>
      </c>
      <c r="M141" s="6">
        <v>5.08305073236005</v>
      </c>
    </row>
    <row r="142" spans="1:13">
      <c r="A142" s="17" t="s">
        <v>61</v>
      </c>
      <c r="B142" s="14" t="s">
        <v>75</v>
      </c>
      <c r="C142" s="18" t="s">
        <v>15</v>
      </c>
      <c r="D142" s="18" t="s">
        <v>9</v>
      </c>
      <c r="E142" s="6">
        <v>1.58332647326286</v>
      </c>
      <c r="F142" s="18" t="s">
        <v>10</v>
      </c>
      <c r="G142" s="6">
        <v>7.41928399846673</v>
      </c>
      <c r="H142" s="18" t="s">
        <v>11</v>
      </c>
      <c r="I142" s="6">
        <v>5.58594560346805</v>
      </c>
      <c r="J142" s="1" t="s">
        <v>12</v>
      </c>
      <c r="K142" s="6">
        <v>1.19716408632135</v>
      </c>
      <c r="L142" s="1" t="s">
        <v>13</v>
      </c>
      <c r="M142" s="6">
        <v>1.14521872853017</v>
      </c>
    </row>
    <row r="143" spans="1:13">
      <c r="A143" s="17" t="s">
        <v>62</v>
      </c>
      <c r="B143" s="14" t="s">
        <v>75</v>
      </c>
      <c r="C143" s="18" t="s">
        <v>8</v>
      </c>
      <c r="D143" s="18" t="s">
        <v>9</v>
      </c>
      <c r="E143" s="6">
        <v>1.54607818588942</v>
      </c>
      <c r="F143" s="18" t="s">
        <v>10</v>
      </c>
      <c r="G143" s="6">
        <v>0.613332723416232</v>
      </c>
      <c r="H143" s="18" t="s">
        <v>11</v>
      </c>
      <c r="I143" s="6">
        <v>-2.77848110744687</v>
      </c>
      <c r="J143" s="1" t="s">
        <v>12</v>
      </c>
      <c r="K143" s="6">
        <v>-0.172704911949996</v>
      </c>
      <c r="L143" s="1" t="s">
        <v>13</v>
      </c>
      <c r="M143" s="6">
        <v>2.59055004334905</v>
      </c>
    </row>
    <row r="144" spans="1:13">
      <c r="A144" s="17" t="s">
        <v>62</v>
      </c>
      <c r="B144" s="14" t="s">
        <v>75</v>
      </c>
      <c r="C144" s="18" t="s">
        <v>14</v>
      </c>
      <c r="D144" s="18" t="s">
        <v>9</v>
      </c>
      <c r="E144" s="6">
        <v>-1.07132287428822</v>
      </c>
      <c r="F144" s="18" t="s">
        <v>10</v>
      </c>
      <c r="G144" s="6">
        <v>0.902766382939623</v>
      </c>
      <c r="H144" s="18" t="s">
        <v>11</v>
      </c>
      <c r="I144" s="6">
        <v>1.88708187077406</v>
      </c>
      <c r="J144" s="1" t="s">
        <v>12</v>
      </c>
      <c r="K144" s="6">
        <v>-3.22934639845894</v>
      </c>
      <c r="L144" s="1" t="s">
        <v>13</v>
      </c>
      <c r="M144" s="6">
        <v>2.59055004334905</v>
      </c>
    </row>
    <row r="145" spans="1:13">
      <c r="A145" s="17" t="s">
        <v>62</v>
      </c>
      <c r="B145" s="14" t="s">
        <v>75</v>
      </c>
      <c r="C145" s="18" t="s">
        <v>15</v>
      </c>
      <c r="D145" s="18" t="s">
        <v>9</v>
      </c>
      <c r="E145" s="6">
        <v>-0.210813836995303</v>
      </c>
      <c r="F145" s="18" t="s">
        <v>10</v>
      </c>
      <c r="G145" s="6">
        <v>1.94957992692806</v>
      </c>
      <c r="H145" s="18" t="s">
        <v>11</v>
      </c>
      <c r="I145" s="6">
        <v>0.933295326264838</v>
      </c>
      <c r="J145" s="1" t="s">
        <v>12</v>
      </c>
      <c r="K145" s="6">
        <v>-1.83194397455839</v>
      </c>
      <c r="L145" s="1" t="s">
        <v>13</v>
      </c>
      <c r="M145" s="6">
        <v>1.23151564044172</v>
      </c>
    </row>
    <row r="146" spans="1:13">
      <c r="A146" s="17" t="s">
        <v>63</v>
      </c>
      <c r="B146" s="14" t="s">
        <v>75</v>
      </c>
      <c r="C146" s="18" t="s">
        <v>8</v>
      </c>
      <c r="D146" s="18" t="s">
        <v>9</v>
      </c>
      <c r="E146" s="6">
        <v>4.1635749974733</v>
      </c>
      <c r="F146" s="18" t="s">
        <v>10</v>
      </c>
      <c r="G146" s="6">
        <v>1.41348465298829</v>
      </c>
      <c r="H146" s="18" t="s">
        <v>11</v>
      </c>
      <c r="I146" s="6">
        <v>-1.1985557340018</v>
      </c>
      <c r="J146" s="1" t="s">
        <v>12</v>
      </c>
      <c r="K146" s="6">
        <v>2.04111806685834</v>
      </c>
      <c r="L146" s="1" t="s">
        <v>13</v>
      </c>
      <c r="M146" s="6">
        <v>0.840968157657591</v>
      </c>
    </row>
    <row r="147" spans="1:13">
      <c r="A147" s="17" t="s">
        <v>63</v>
      </c>
      <c r="B147" s="14" t="s">
        <v>75</v>
      </c>
      <c r="C147" s="18" t="s">
        <v>14</v>
      </c>
      <c r="D147" s="18" t="s">
        <v>9</v>
      </c>
      <c r="E147" s="6">
        <v>1.09388906670294</v>
      </c>
      <c r="F147" s="18" t="s">
        <v>10</v>
      </c>
      <c r="G147" s="6">
        <v>6.29166455125851</v>
      </c>
      <c r="H147" s="18" t="s">
        <v>11</v>
      </c>
      <c r="I147" s="6">
        <v>4.88048916213473</v>
      </c>
      <c r="J147" s="1" t="s">
        <v>12</v>
      </c>
      <c r="K147" s="6">
        <v>1.30746941303533</v>
      </c>
      <c r="L147" s="1" t="s">
        <v>13</v>
      </c>
      <c r="M147" s="6">
        <v>0.840968157657591</v>
      </c>
    </row>
    <row r="148" spans="1:13">
      <c r="A148" s="17" t="s">
        <v>63</v>
      </c>
      <c r="B148" s="14" t="s">
        <v>75</v>
      </c>
      <c r="C148" s="18" t="s">
        <v>15</v>
      </c>
      <c r="D148" s="18" t="s">
        <v>9</v>
      </c>
      <c r="E148" s="6">
        <v>2.17001946642495</v>
      </c>
      <c r="F148" s="18" t="s">
        <v>10</v>
      </c>
      <c r="G148" s="6">
        <v>6.72646307697029</v>
      </c>
      <c r="H148" s="18" t="s">
        <v>11</v>
      </c>
      <c r="I148" s="6">
        <v>3.72276206587849</v>
      </c>
      <c r="J148" s="1" t="s">
        <v>12</v>
      </c>
      <c r="K148" s="6">
        <v>1.83440123535215</v>
      </c>
      <c r="L148" s="1" t="s">
        <v>13</v>
      </c>
      <c r="M148" s="6">
        <v>-0.918122490523335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7"/>
  <sheetViews>
    <sheetView tabSelected="1" workbookViewId="0">
      <selection activeCell="A1" sqref="$A1:$XFD1048576"/>
    </sheetView>
  </sheetViews>
  <sheetFormatPr defaultColWidth="8.72727272727273" defaultRowHeight="14"/>
  <cols>
    <col min="1" max="1" width="12.8181818181818" style="1"/>
    <col min="2" max="6" width="14" style="1"/>
    <col min="7" max="7" width="8.72727272727273" style="1"/>
    <col min="8" max="11" width="14" style="1"/>
    <col min="12" max="12" width="8.72727272727273" style="1"/>
    <col min="13" max="18" width="14" style="1"/>
    <col min="19" max="16384" width="8.72727272727273" style="1"/>
  </cols>
  <sheetData>
    <row r="1" s="1" customFormat="1" spans="1:31">
      <c r="A1" s="1" t="s">
        <v>85</v>
      </c>
      <c r="B1" s="3" t="s">
        <v>76</v>
      </c>
      <c r="C1" s="3" t="s">
        <v>78</v>
      </c>
      <c r="D1" s="4" t="s">
        <v>11</v>
      </c>
      <c r="E1" s="3" t="s">
        <v>12</v>
      </c>
      <c r="F1" s="5" t="s">
        <v>13</v>
      </c>
      <c r="G1" s="1" t="s">
        <v>86</v>
      </c>
      <c r="H1" s="3" t="s">
        <v>76</v>
      </c>
      <c r="I1" s="3" t="s">
        <v>78</v>
      </c>
      <c r="J1" s="4" t="s">
        <v>11</v>
      </c>
      <c r="K1" s="3" t="s">
        <v>12</v>
      </c>
      <c r="L1" s="5" t="s">
        <v>87</v>
      </c>
      <c r="M1" s="3" t="s">
        <v>76</v>
      </c>
      <c r="N1" s="3" t="s">
        <v>78</v>
      </c>
      <c r="O1" s="4" t="s">
        <v>11</v>
      </c>
      <c r="P1" s="3" t="s">
        <v>12</v>
      </c>
      <c r="Q1" s="5" t="s">
        <v>13</v>
      </c>
      <c r="R1" s="1" t="s">
        <v>105</v>
      </c>
      <c r="S1" s="4" t="s">
        <v>0</v>
      </c>
      <c r="T1" s="14" t="s">
        <v>65</v>
      </c>
      <c r="U1" s="15" t="s">
        <v>2</v>
      </c>
      <c r="V1" s="16"/>
      <c r="W1" s="3" t="s">
        <v>3</v>
      </c>
      <c r="X1" s="3"/>
      <c r="Y1" s="3" t="s">
        <v>3</v>
      </c>
      <c r="Z1" s="3"/>
      <c r="AA1" s="3" t="s">
        <v>3</v>
      </c>
      <c r="AB1" s="5"/>
      <c r="AC1" s="3" t="s">
        <v>3</v>
      </c>
      <c r="AE1" s="3" t="s">
        <v>3</v>
      </c>
    </row>
    <row r="2" s="1" customFormat="1" spans="2:31">
      <c r="B2" s="6">
        <v>2.60343450550386</v>
      </c>
      <c r="C2" s="6">
        <v>0.316303995072863</v>
      </c>
      <c r="D2" s="6">
        <v>-5.13156803958751</v>
      </c>
      <c r="E2" s="6">
        <v>-2.19704686503082</v>
      </c>
      <c r="F2" s="6">
        <v>1</v>
      </c>
      <c r="G2" s="1" t="s">
        <v>94</v>
      </c>
      <c r="H2" s="6">
        <v>-1.47413074841665</v>
      </c>
      <c r="I2" s="6">
        <v>-4.38740584556283</v>
      </c>
      <c r="J2" s="6">
        <v>-7.09255166110446</v>
      </c>
      <c r="K2" s="6">
        <v>0.407343537621702</v>
      </c>
      <c r="M2" s="6">
        <v>8.34067033290304</v>
      </c>
      <c r="N2" s="6">
        <v>-0.921080143095955</v>
      </c>
      <c r="O2" s="6">
        <v>-3.44690927888305</v>
      </c>
      <c r="P2" s="6">
        <v>-0.294503931831324</v>
      </c>
      <c r="Q2" s="6">
        <v>1</v>
      </c>
      <c r="R2" s="11"/>
      <c r="S2" s="17" t="s">
        <v>6</v>
      </c>
      <c r="T2" s="18" t="s">
        <v>71</v>
      </c>
      <c r="U2" s="18" t="s">
        <v>8</v>
      </c>
      <c r="V2" s="18" t="s">
        <v>9</v>
      </c>
      <c r="W2" s="6">
        <v>-1.47413074841665</v>
      </c>
      <c r="X2" s="18" t="s">
        <v>10</v>
      </c>
      <c r="Y2" s="6">
        <v>-4.38740584556283</v>
      </c>
      <c r="Z2" s="18" t="s">
        <v>11</v>
      </c>
      <c r="AA2" s="6">
        <v>-7.09255166110446</v>
      </c>
      <c r="AB2" s="1" t="s">
        <v>12</v>
      </c>
      <c r="AC2" s="6">
        <v>0.407343537621702</v>
      </c>
      <c r="AD2" s="1" t="s">
        <v>13</v>
      </c>
      <c r="AE2" s="6">
        <v>1</v>
      </c>
    </row>
    <row r="3" s="1" customFormat="1" spans="2:31">
      <c r="B3" s="6">
        <v>-2.98001748918142</v>
      </c>
      <c r="C3" s="6">
        <v>0.857024937887025</v>
      </c>
      <c r="D3" s="6">
        <v>-4.81065185731822</v>
      </c>
      <c r="E3" s="6">
        <v>-0.864012847828319</v>
      </c>
      <c r="F3" s="6">
        <v>1.89249815467275</v>
      </c>
      <c r="H3" s="6">
        <v>-1.69352264679345</v>
      </c>
      <c r="I3" s="6">
        <v>0.235430419987866</v>
      </c>
      <c r="J3" s="6">
        <v>-3.6662213677866</v>
      </c>
      <c r="K3" s="6">
        <v>-1.38838300823855</v>
      </c>
      <c r="M3" s="6">
        <v>-0.951747356966332</v>
      </c>
      <c r="N3" s="6">
        <v>1.08472647707278</v>
      </c>
      <c r="O3" s="6">
        <v>-3.0848380561631</v>
      </c>
      <c r="P3" s="6">
        <v>1.34380382343747</v>
      </c>
      <c r="Q3" s="6">
        <v>0.965660124079901</v>
      </c>
      <c r="R3" s="11"/>
      <c r="S3" s="1" t="s">
        <v>16</v>
      </c>
      <c r="T3" s="18" t="s">
        <v>71</v>
      </c>
      <c r="U3" s="18" t="s">
        <v>8</v>
      </c>
      <c r="V3" s="18" t="s">
        <v>9</v>
      </c>
      <c r="W3" s="6">
        <v>-1.69352264679345</v>
      </c>
      <c r="X3" s="18" t="s">
        <v>10</v>
      </c>
      <c r="Y3" s="6">
        <v>0.235430419987866</v>
      </c>
      <c r="Z3" s="18" t="s">
        <v>11</v>
      </c>
      <c r="AA3" s="6">
        <v>-3.6662213677866</v>
      </c>
      <c r="AB3" s="1" t="s">
        <v>12</v>
      </c>
      <c r="AC3" s="6">
        <v>-1.38838300823855</v>
      </c>
      <c r="AD3" s="1" t="s">
        <v>13</v>
      </c>
      <c r="AE3" s="6">
        <v>0.965660124079901</v>
      </c>
    </row>
    <row r="4" s="1" customFormat="1" spans="2:31">
      <c r="B4" s="6">
        <v>7.42466958010446</v>
      </c>
      <c r="C4" s="6">
        <v>2.62683453990513</v>
      </c>
      <c r="D4" s="6">
        <v>2.047852413287</v>
      </c>
      <c r="E4" s="6">
        <v>0.432521203815684</v>
      </c>
      <c r="F4" s="6">
        <v>-8.82367238981921</v>
      </c>
      <c r="H4" s="6">
        <v>2.10074646943706</v>
      </c>
      <c r="I4" s="6">
        <v>-1.59304677228393</v>
      </c>
      <c r="J4" s="6">
        <v>-1.51657095237346</v>
      </c>
      <c r="K4" s="6">
        <v>6.37693146635865</v>
      </c>
      <c r="M4" s="6">
        <v>8.20478242867914</v>
      </c>
      <c r="N4" s="6">
        <v>1.26207354990892</v>
      </c>
      <c r="O4" s="6">
        <v>5.71606238467242</v>
      </c>
      <c r="P4" s="6">
        <v>-1.28492377163383</v>
      </c>
      <c r="Q4" s="6">
        <v>-7.82658214229189</v>
      </c>
      <c r="R4" s="11"/>
      <c r="S4" s="1" t="s">
        <v>17</v>
      </c>
      <c r="T4" s="18" t="s">
        <v>71</v>
      </c>
      <c r="U4" s="18" t="s">
        <v>8</v>
      </c>
      <c r="V4" s="18" t="s">
        <v>9</v>
      </c>
      <c r="W4" s="6">
        <v>2.10074646943706</v>
      </c>
      <c r="X4" s="18" t="s">
        <v>10</v>
      </c>
      <c r="Y4" s="6">
        <v>-1.59304677228393</v>
      </c>
      <c r="Z4" s="18" t="s">
        <v>11</v>
      </c>
      <c r="AA4" s="6">
        <v>-1.51657095237346</v>
      </c>
      <c r="AB4" s="1" t="s">
        <v>12</v>
      </c>
      <c r="AC4" s="6">
        <v>6.37693146635865</v>
      </c>
      <c r="AD4" s="1" t="s">
        <v>13</v>
      </c>
      <c r="AE4" s="6">
        <v>-7.82658214229189</v>
      </c>
    </row>
    <row r="5" s="1" customFormat="1" spans="2:31">
      <c r="B5" s="6">
        <v>0.262681922682551</v>
      </c>
      <c r="C5" s="6">
        <v>0.376313558163229</v>
      </c>
      <c r="D5" s="6">
        <v>-1.45917505954186</v>
      </c>
      <c r="E5" s="6">
        <v>-0.472704294113555</v>
      </c>
      <c r="F5" s="6">
        <v>1.26104263399506</v>
      </c>
      <c r="H5" s="6">
        <v>0.0937443996057335</v>
      </c>
      <c r="I5" s="6">
        <v>0.130861691191736</v>
      </c>
      <c r="J5" s="6">
        <v>-1.33251554857215</v>
      </c>
      <c r="K5" s="6">
        <v>-0.329630479287353</v>
      </c>
      <c r="M5" s="6">
        <v>0.313397951921127</v>
      </c>
      <c r="N5" s="6">
        <v>0.161242275304936</v>
      </c>
      <c r="O5" s="6">
        <v>-0.601388018896924</v>
      </c>
      <c r="P5" s="6">
        <v>-0.0613048258850068</v>
      </c>
      <c r="Q5" s="6">
        <v>1.08390613225438</v>
      </c>
      <c r="R5" s="11"/>
      <c r="S5" s="1" t="s">
        <v>18</v>
      </c>
      <c r="T5" s="18" t="s">
        <v>71</v>
      </c>
      <c r="U5" s="18" t="s">
        <v>8</v>
      </c>
      <c r="V5" s="18" t="s">
        <v>9</v>
      </c>
      <c r="W5" s="6">
        <v>0.0937443996057335</v>
      </c>
      <c r="X5" s="18" t="s">
        <v>10</v>
      </c>
      <c r="Y5" s="6">
        <v>0.130861691191736</v>
      </c>
      <c r="Z5" s="18" t="s">
        <v>11</v>
      </c>
      <c r="AA5" s="6">
        <v>-1.33251554857215</v>
      </c>
      <c r="AB5" s="1" t="s">
        <v>12</v>
      </c>
      <c r="AC5" s="6">
        <v>-0.329630479287353</v>
      </c>
      <c r="AD5" s="1" t="s">
        <v>13</v>
      </c>
      <c r="AE5" s="6">
        <v>1.08390613225438</v>
      </c>
    </row>
    <row r="6" s="1" customFormat="1" spans="2:31">
      <c r="B6" s="6">
        <v>-2.24275501497207</v>
      </c>
      <c r="C6" s="6">
        <v>4.17889449391254</v>
      </c>
      <c r="D6" s="6">
        <v>2.22029697830306</v>
      </c>
      <c r="E6" s="6">
        <v>4.29791531891338</v>
      </c>
      <c r="F6" s="6">
        <v>0.875034407972874</v>
      </c>
      <c r="H6" s="6">
        <v>-6.8879390006426</v>
      </c>
      <c r="I6" s="6">
        <v>13.3658744153629</v>
      </c>
      <c r="J6" s="6">
        <v>8.66992115095722</v>
      </c>
      <c r="K6" s="6">
        <v>1.9749962056917</v>
      </c>
      <c r="M6" s="6">
        <v>3.82880231362043</v>
      </c>
      <c r="N6" s="6">
        <v>-3.35784733854368</v>
      </c>
      <c r="O6" s="6">
        <v>-4.97074501245433</v>
      </c>
      <c r="P6" s="6">
        <v>9.18304631234242</v>
      </c>
      <c r="Q6" s="6">
        <v>0.221035769322727</v>
      </c>
      <c r="R6" s="11"/>
      <c r="S6" s="17" t="s">
        <v>19</v>
      </c>
      <c r="T6" s="18" t="s">
        <v>71</v>
      </c>
      <c r="U6" s="18" t="s">
        <v>8</v>
      </c>
      <c r="V6" s="18" t="s">
        <v>9</v>
      </c>
      <c r="W6" s="6">
        <v>-6.8879390006426</v>
      </c>
      <c r="X6" s="18" t="s">
        <v>10</v>
      </c>
      <c r="Y6" s="6">
        <v>13.3658744153629</v>
      </c>
      <c r="Z6" s="18" t="s">
        <v>11</v>
      </c>
      <c r="AA6" s="6">
        <v>8.66992115095722</v>
      </c>
      <c r="AB6" s="1" t="s">
        <v>12</v>
      </c>
      <c r="AC6" s="6">
        <v>1.9749962056917</v>
      </c>
      <c r="AD6" s="1" t="s">
        <v>13</v>
      </c>
      <c r="AE6" s="6">
        <v>0.221035769322727</v>
      </c>
    </row>
    <row r="7" s="1" customFormat="1" spans="2:31">
      <c r="B7" s="6">
        <v>1.16943225108349</v>
      </c>
      <c r="C7" s="6">
        <v>0.805982376068996</v>
      </c>
      <c r="D7" s="6">
        <v>-2.28540517524547</v>
      </c>
      <c r="E7" s="6">
        <v>1.5104508116174</v>
      </c>
      <c r="F7" s="6">
        <v>1.13104919593737</v>
      </c>
      <c r="H7" s="6">
        <v>-0.471917493553144</v>
      </c>
      <c r="I7" s="6">
        <v>7.52112347222136</v>
      </c>
      <c r="J7" s="6">
        <v>4.85205161765271</v>
      </c>
      <c r="K7" s="6">
        <v>-2.79829041687592</v>
      </c>
      <c r="M7" s="6">
        <v>-1.74255636150041</v>
      </c>
      <c r="N7" s="6">
        <v>-0.808796627139782</v>
      </c>
      <c r="O7" s="6">
        <v>-4.62963200198029</v>
      </c>
      <c r="P7" s="6">
        <v>8.54674600379136</v>
      </c>
      <c r="Q7" s="6">
        <v>2.66031457588877</v>
      </c>
      <c r="R7" s="11"/>
      <c r="S7" s="19" t="s">
        <v>20</v>
      </c>
      <c r="T7" s="18" t="s">
        <v>71</v>
      </c>
      <c r="U7" s="20" t="s">
        <v>8</v>
      </c>
      <c r="V7" s="20" t="s">
        <v>9</v>
      </c>
      <c r="W7" s="6">
        <v>-0.471917493553144</v>
      </c>
      <c r="X7" s="18" t="s">
        <v>10</v>
      </c>
      <c r="Y7" s="6">
        <v>7.52112347222136</v>
      </c>
      <c r="Z7" s="18" t="s">
        <v>11</v>
      </c>
      <c r="AA7" s="6">
        <v>4.85205161765271</v>
      </c>
      <c r="AB7" s="1" t="s">
        <v>12</v>
      </c>
      <c r="AC7" s="6">
        <v>-2.79829041687592</v>
      </c>
      <c r="AD7" s="1" t="s">
        <v>13</v>
      </c>
      <c r="AE7" s="6">
        <v>2.66031457588877</v>
      </c>
    </row>
    <row r="8" s="1" customFormat="1" spans="2:31">
      <c r="B8" s="6">
        <v>2.94385065010053</v>
      </c>
      <c r="C8" s="6">
        <v>-3.8065007180002</v>
      </c>
      <c r="D8" s="6">
        <v>1.87210780424542</v>
      </c>
      <c r="E8" s="6">
        <v>-1.99980753943232</v>
      </c>
      <c r="F8" s="6">
        <v>2.58692438084139</v>
      </c>
      <c r="H8" s="6">
        <v>0.977492472997128</v>
      </c>
      <c r="I8" s="6">
        <v>1.2614215576646</v>
      </c>
      <c r="J8" s="6">
        <v>0.150847941561318</v>
      </c>
      <c r="K8" s="6">
        <v>-1.7619225868816</v>
      </c>
      <c r="M8" s="6">
        <v>-2.1848577846182</v>
      </c>
      <c r="N8" s="6">
        <v>-0.731609289911226</v>
      </c>
      <c r="O8" s="6">
        <v>1.80691892424651</v>
      </c>
      <c r="P8" s="6">
        <v>1.14563359939187</v>
      </c>
      <c r="Q8" s="6">
        <v>1.99299862312461</v>
      </c>
      <c r="R8" s="11"/>
      <c r="S8" s="17" t="s">
        <v>21</v>
      </c>
      <c r="T8" s="18" t="s">
        <v>71</v>
      </c>
      <c r="U8" s="18" t="s">
        <v>8</v>
      </c>
      <c r="V8" s="18" t="s">
        <v>9</v>
      </c>
      <c r="W8" s="6">
        <v>0.977492472997128</v>
      </c>
      <c r="X8" s="18" t="s">
        <v>10</v>
      </c>
      <c r="Y8" s="6">
        <v>1.2614215576646</v>
      </c>
      <c r="Z8" s="18" t="s">
        <v>11</v>
      </c>
      <c r="AA8" s="6">
        <v>0.150847941561318</v>
      </c>
      <c r="AB8" s="1" t="s">
        <v>12</v>
      </c>
      <c r="AC8" s="6">
        <v>-1.7619225868816</v>
      </c>
      <c r="AD8" s="1" t="s">
        <v>13</v>
      </c>
      <c r="AE8" s="6">
        <v>1.99299862312461</v>
      </c>
    </row>
    <row r="9" s="1" customFormat="1" spans="2:31">
      <c r="B9" s="6">
        <v>2.94385065010053</v>
      </c>
      <c r="C9" s="6">
        <v>-3.8065007180002</v>
      </c>
      <c r="D9" s="6">
        <v>1.87210780424542</v>
      </c>
      <c r="E9" s="6">
        <v>-1.99980753943232</v>
      </c>
      <c r="F9" s="6">
        <v>2.58692438084139</v>
      </c>
      <c r="H9" s="6">
        <v>0.977492472997128</v>
      </c>
      <c r="I9" s="6">
        <v>1.2614215576646</v>
      </c>
      <c r="J9" s="6">
        <v>0.150847941561318</v>
      </c>
      <c r="K9" s="6">
        <v>-1.7619225868816</v>
      </c>
      <c r="M9" s="6">
        <v>-2.1848577846182</v>
      </c>
      <c r="N9" s="6">
        <v>-0.731609289911226</v>
      </c>
      <c r="O9" s="6">
        <v>1.80691892424651</v>
      </c>
      <c r="P9" s="6">
        <v>1.14563359939187</v>
      </c>
      <c r="Q9" s="6">
        <v>1.99299862312461</v>
      </c>
      <c r="R9" s="11"/>
      <c r="S9" s="17" t="s">
        <v>22</v>
      </c>
      <c r="T9" s="18" t="s">
        <v>71</v>
      </c>
      <c r="U9" s="18" t="s">
        <v>8</v>
      </c>
      <c r="V9" s="18" t="s">
        <v>9</v>
      </c>
      <c r="W9" s="6">
        <v>0.977492472997128</v>
      </c>
      <c r="X9" s="18" t="s">
        <v>10</v>
      </c>
      <c r="Y9" s="6">
        <v>1.2614215576646</v>
      </c>
      <c r="Z9" s="18" t="s">
        <v>11</v>
      </c>
      <c r="AA9" s="6">
        <v>0.150847941561318</v>
      </c>
      <c r="AB9" s="1" t="s">
        <v>12</v>
      </c>
      <c r="AC9" s="6">
        <v>-1.7619225868816</v>
      </c>
      <c r="AD9" s="1" t="s">
        <v>13</v>
      </c>
      <c r="AE9" s="6">
        <v>1.99299862312461</v>
      </c>
    </row>
    <row r="10" s="1" customFormat="1" spans="2:31">
      <c r="B10" s="6">
        <v>-0.976154477874545</v>
      </c>
      <c r="C10" s="6">
        <v>-0.0504694276271403</v>
      </c>
      <c r="D10" s="6">
        <v>-3.97244444494944</v>
      </c>
      <c r="E10" s="6">
        <v>0.918397441135461</v>
      </c>
      <c r="F10" s="6">
        <v>5.90675722801151</v>
      </c>
      <c r="H10" s="6">
        <v>2.78407636838837</v>
      </c>
      <c r="I10" s="6">
        <v>1.15527458586253</v>
      </c>
      <c r="J10" s="6">
        <v>-6.66585806998655</v>
      </c>
      <c r="K10" s="6">
        <v>2.28216384179729</v>
      </c>
      <c r="M10" s="6">
        <v>-4.87929162306003</v>
      </c>
      <c r="N10" s="6">
        <v>1.87946228505974</v>
      </c>
      <c r="O10" s="6">
        <v>-2.58649935685894</v>
      </c>
      <c r="P10" s="6">
        <v>1.5940699736264</v>
      </c>
      <c r="Q10" s="6">
        <v>4.53676117703726</v>
      </c>
      <c r="R10" s="11"/>
      <c r="S10" s="19" t="s">
        <v>23</v>
      </c>
      <c r="T10" s="18" t="s">
        <v>71</v>
      </c>
      <c r="U10" s="18" t="s">
        <v>8</v>
      </c>
      <c r="V10" s="18" t="s">
        <v>9</v>
      </c>
      <c r="W10" s="6">
        <v>2.78407636838837</v>
      </c>
      <c r="X10" s="18" t="s">
        <v>10</v>
      </c>
      <c r="Y10" s="6">
        <v>1.15527458586253</v>
      </c>
      <c r="Z10" s="18" t="s">
        <v>11</v>
      </c>
      <c r="AA10" s="6">
        <v>-6.66585806998655</v>
      </c>
      <c r="AB10" s="1" t="s">
        <v>12</v>
      </c>
      <c r="AC10" s="6">
        <v>2.28216384179729</v>
      </c>
      <c r="AD10" s="1" t="s">
        <v>13</v>
      </c>
      <c r="AE10" s="6">
        <v>4.53676117703726</v>
      </c>
    </row>
    <row r="11" s="1" customFormat="1" spans="2:31">
      <c r="B11" s="6">
        <v>1.23360920997787</v>
      </c>
      <c r="C11" s="6">
        <v>-1.45678378159713</v>
      </c>
      <c r="D11" s="6">
        <v>1.37404550532886</v>
      </c>
      <c r="E11" s="6">
        <v>0.107812996619828</v>
      </c>
      <c r="F11" s="6">
        <v>0.280701489618216</v>
      </c>
      <c r="H11" s="6">
        <v>-2.53036153761099</v>
      </c>
      <c r="I11" s="6">
        <v>-2.41875820764584</v>
      </c>
      <c r="J11" s="6">
        <v>2.8445135887784</v>
      </c>
      <c r="K11" s="6">
        <v>-0.159714677355602</v>
      </c>
      <c r="M11" s="6">
        <v>5.57326539353473</v>
      </c>
      <c r="N11" s="6">
        <v>-2.29242063049508</v>
      </c>
      <c r="O11" s="6">
        <v>1.01631186537221</v>
      </c>
      <c r="P11" s="6">
        <v>1.50478019856865</v>
      </c>
      <c r="Q11" s="6">
        <v>0.916666349882351</v>
      </c>
      <c r="R11" s="11"/>
      <c r="S11" s="17" t="s">
        <v>24</v>
      </c>
      <c r="T11" s="18" t="s">
        <v>71</v>
      </c>
      <c r="U11" s="18" t="s">
        <v>8</v>
      </c>
      <c r="V11" s="18" t="s">
        <v>9</v>
      </c>
      <c r="W11" s="6">
        <v>-2.53036153761099</v>
      </c>
      <c r="X11" s="18" t="s">
        <v>10</v>
      </c>
      <c r="Y11" s="6">
        <v>-2.41875820764584</v>
      </c>
      <c r="Z11" s="18" t="s">
        <v>11</v>
      </c>
      <c r="AA11" s="6">
        <v>2.8445135887784</v>
      </c>
      <c r="AB11" s="1" t="s">
        <v>12</v>
      </c>
      <c r="AC11" s="6">
        <v>-0.159714677355602</v>
      </c>
      <c r="AD11" s="1" t="s">
        <v>13</v>
      </c>
      <c r="AE11" s="6">
        <v>0.916666349882351</v>
      </c>
    </row>
    <row r="12" s="1" customFormat="1" spans="2:31">
      <c r="B12" s="6">
        <v>1.75345673303025</v>
      </c>
      <c r="C12" s="6">
        <v>-3.02216766451807</v>
      </c>
      <c r="D12" s="6">
        <v>-0.495501729518639</v>
      </c>
      <c r="E12" s="6">
        <v>1.86525931075663</v>
      </c>
      <c r="F12" s="6">
        <v>-2.56989994992583</v>
      </c>
      <c r="H12" s="6">
        <v>-0.971001176289759</v>
      </c>
      <c r="I12" s="6">
        <v>-3.07104613181014</v>
      </c>
      <c r="J12" s="6">
        <v>-0.714530356963593</v>
      </c>
      <c r="K12" s="6">
        <v>-0.592991428301268</v>
      </c>
      <c r="M12" s="6">
        <v>1.74821788961794</v>
      </c>
      <c r="N12" s="6">
        <v>-0.895933874727997</v>
      </c>
      <c r="O12" s="6">
        <v>-1.70349379733764</v>
      </c>
      <c r="P12" s="6">
        <v>2.862831141951</v>
      </c>
      <c r="Q12" s="6">
        <v>-3.62816029830502</v>
      </c>
      <c r="R12" s="11"/>
      <c r="S12" s="17" t="s">
        <v>25</v>
      </c>
      <c r="T12" s="18" t="s">
        <v>71</v>
      </c>
      <c r="U12" s="18" t="s">
        <v>8</v>
      </c>
      <c r="V12" s="18" t="s">
        <v>9</v>
      </c>
      <c r="W12" s="6">
        <v>-0.971001176289759</v>
      </c>
      <c r="X12" s="18" t="s">
        <v>10</v>
      </c>
      <c r="Y12" s="6">
        <v>-3.07104613181014</v>
      </c>
      <c r="Z12" s="18" t="s">
        <v>11</v>
      </c>
      <c r="AA12" s="6">
        <v>-0.714530356963593</v>
      </c>
      <c r="AB12" s="1" t="s">
        <v>12</v>
      </c>
      <c r="AC12" s="6">
        <v>-0.592991428301268</v>
      </c>
      <c r="AD12" s="1" t="s">
        <v>13</v>
      </c>
      <c r="AE12" s="6">
        <v>-3.62816029830502</v>
      </c>
    </row>
    <row r="13" s="1" customFormat="1" spans="2:31">
      <c r="B13" s="6">
        <v>-1.13381778279807</v>
      </c>
      <c r="C13" s="6">
        <v>-4.55809516258912</v>
      </c>
      <c r="D13" s="6">
        <v>1.48377566149969</v>
      </c>
      <c r="E13" s="6">
        <v>-2.73495743894224</v>
      </c>
      <c r="F13" s="6">
        <v>3.57160692281727</v>
      </c>
      <c r="H13" s="6">
        <v>-0.0602959370172958</v>
      </c>
      <c r="I13" s="6">
        <v>-0.682947727076415</v>
      </c>
      <c r="J13" s="6">
        <v>1.69558894128445</v>
      </c>
      <c r="K13" s="6">
        <v>-0.393940552089717</v>
      </c>
      <c r="M13" s="6">
        <v>-0.852470494794252</v>
      </c>
      <c r="N13" s="6">
        <v>-2.95591424443598</v>
      </c>
      <c r="O13" s="6">
        <v>1.38054032288692</v>
      </c>
      <c r="P13" s="6">
        <v>-1.25345670369952</v>
      </c>
      <c r="Q13" s="6">
        <v>3.06397759453762</v>
      </c>
      <c r="R13" s="11"/>
      <c r="S13" s="17" t="s">
        <v>26</v>
      </c>
      <c r="T13" s="18" t="s">
        <v>71</v>
      </c>
      <c r="U13" s="18" t="s">
        <v>8</v>
      </c>
      <c r="V13" s="18" t="s">
        <v>9</v>
      </c>
      <c r="W13" s="6">
        <v>-0.0602959370172958</v>
      </c>
      <c r="X13" s="18" t="s">
        <v>10</v>
      </c>
      <c r="Y13" s="6">
        <v>-0.682947727076415</v>
      </c>
      <c r="Z13" s="18" t="s">
        <v>11</v>
      </c>
      <c r="AA13" s="6">
        <v>1.69558894128445</v>
      </c>
      <c r="AB13" s="1" t="s">
        <v>12</v>
      </c>
      <c r="AC13" s="6">
        <v>-0.393940552089717</v>
      </c>
      <c r="AD13" s="1" t="s">
        <v>13</v>
      </c>
      <c r="AE13" s="6">
        <v>3.06397759453762</v>
      </c>
    </row>
    <row r="14" s="1" customFormat="1" spans="2:31">
      <c r="B14" s="6"/>
      <c r="C14" s="6"/>
      <c r="D14" s="6"/>
      <c r="E14" s="6"/>
      <c r="F14" s="6"/>
      <c r="H14" s="6"/>
      <c r="I14" s="6"/>
      <c r="J14" s="6"/>
      <c r="K14" s="6"/>
      <c r="M14" s="6"/>
      <c r="N14" s="6"/>
      <c r="O14" s="6"/>
      <c r="P14" s="6"/>
      <c r="Q14" s="6"/>
      <c r="R14" s="11"/>
      <c r="S14" s="17" t="s">
        <v>6</v>
      </c>
      <c r="T14" s="18" t="s">
        <v>71</v>
      </c>
      <c r="U14" s="21" t="s">
        <v>14</v>
      </c>
      <c r="V14" s="18" t="s">
        <v>9</v>
      </c>
      <c r="W14" s="6">
        <v>8.34067033290304</v>
      </c>
      <c r="X14" s="18" t="s">
        <v>10</v>
      </c>
      <c r="Y14" s="6">
        <v>-0.921080143095955</v>
      </c>
      <c r="Z14" s="18" t="s">
        <v>11</v>
      </c>
      <c r="AA14" s="6">
        <v>-3.44690927888305</v>
      </c>
      <c r="AB14" s="1" t="s">
        <v>12</v>
      </c>
      <c r="AC14" s="6">
        <v>-0.294503931831324</v>
      </c>
      <c r="AD14" s="1" t="s">
        <v>13</v>
      </c>
      <c r="AE14" s="6">
        <v>1</v>
      </c>
    </row>
    <row r="15" s="1" customFormat="1" spans="1:31">
      <c r="A15" s="1" t="s">
        <v>106</v>
      </c>
      <c r="B15" s="1">
        <f t="shared" ref="B15:F15" si="0">AVERAGE(B2:B13)</f>
        <v>1.08352006147979</v>
      </c>
      <c r="C15" s="7">
        <f t="shared" si="0"/>
        <v>-0.628263630943506</v>
      </c>
      <c r="D15" s="7">
        <f t="shared" si="0"/>
        <v>-0.607046678270974</v>
      </c>
      <c r="E15" s="1">
        <f t="shared" si="0"/>
        <v>-0.0946649534934326</v>
      </c>
      <c r="F15" s="7">
        <f t="shared" si="0"/>
        <v>0.808247204580233</v>
      </c>
      <c r="H15" s="1">
        <f t="shared" ref="H15:K15" si="1">AVERAGE(H2:H13)</f>
        <v>-0.596301363074872</v>
      </c>
      <c r="I15" s="9">
        <f t="shared" si="1"/>
        <v>1.06485025129804</v>
      </c>
      <c r="J15" s="1">
        <f t="shared" si="1"/>
        <v>-0.21870639791595</v>
      </c>
      <c r="K15" s="1">
        <f t="shared" si="1"/>
        <v>0.154553276296478</v>
      </c>
      <c r="M15" s="7">
        <f t="shared" ref="M15:Q15" si="2">AVERAGE(M2:M13)</f>
        <v>1.26777957539325</v>
      </c>
      <c r="N15" s="1">
        <f t="shared" si="2"/>
        <v>-0.692308904242879</v>
      </c>
      <c r="O15" s="1">
        <f t="shared" si="2"/>
        <v>-0.774729425095809</v>
      </c>
      <c r="P15" s="1">
        <f t="shared" si="2"/>
        <v>2.03602961828761</v>
      </c>
      <c r="Q15" s="22">
        <f t="shared" si="2"/>
        <v>0.581631377387943</v>
      </c>
      <c r="S15" s="1" t="s">
        <v>16</v>
      </c>
      <c r="T15" s="18" t="s">
        <v>71</v>
      </c>
      <c r="U15" s="21" t="s">
        <v>14</v>
      </c>
      <c r="V15" s="18" t="s">
        <v>9</v>
      </c>
      <c r="W15" s="6">
        <v>-0.951747356966332</v>
      </c>
      <c r="X15" s="18" t="s">
        <v>10</v>
      </c>
      <c r="Y15" s="6">
        <v>1.08472647707278</v>
      </c>
      <c r="Z15" s="18" t="s">
        <v>11</v>
      </c>
      <c r="AA15" s="6">
        <v>-3.0848380561631</v>
      </c>
      <c r="AB15" s="1" t="s">
        <v>12</v>
      </c>
      <c r="AC15" s="6">
        <v>1.34380382343747</v>
      </c>
      <c r="AD15" s="1" t="s">
        <v>13</v>
      </c>
      <c r="AE15" s="6">
        <v>0.965660124079901</v>
      </c>
    </row>
    <row r="16" s="1" customFormat="1" spans="1:31">
      <c r="A16" s="1" t="s">
        <v>107</v>
      </c>
      <c r="B16" s="1">
        <f t="shared" ref="B16:F16" si="3">MEDIAN(B2:B13)</f>
        <v>1.20152073053068</v>
      </c>
      <c r="C16" s="1">
        <f t="shared" si="3"/>
        <v>0.132917283722861</v>
      </c>
      <c r="D16" s="1">
        <f t="shared" si="3"/>
        <v>0.439271887905111</v>
      </c>
      <c r="E16" s="1">
        <f t="shared" si="3"/>
        <v>-0.182445648746864</v>
      </c>
      <c r="F16" s="1">
        <f t="shared" si="3"/>
        <v>1.19604591496622</v>
      </c>
      <c r="H16" s="1">
        <f t="shared" ref="H16:K16" si="4">MEDIAN(H2:H13)</f>
        <v>-0.26610671528522</v>
      </c>
      <c r="I16" s="1">
        <f t="shared" si="4"/>
        <v>0.183146055589801</v>
      </c>
      <c r="J16" s="1">
        <f t="shared" si="4"/>
        <v>-0.281841207701138</v>
      </c>
      <c r="K16" s="1">
        <f t="shared" si="4"/>
        <v>-0.361785515688535</v>
      </c>
      <c r="M16" s="1">
        <f t="shared" ref="M16:Q16" si="5">MEDIAN(M2:M13)</f>
        <v>-0.269536271436562</v>
      </c>
      <c r="N16" s="1">
        <f t="shared" si="5"/>
        <v>-0.770202958525504</v>
      </c>
      <c r="O16" s="1">
        <f t="shared" si="5"/>
        <v>-1.15244090811728</v>
      </c>
      <c r="P16" s="1">
        <f t="shared" si="5"/>
        <v>1.24471871141467</v>
      </c>
      <c r="Q16" s="1">
        <f t="shared" si="5"/>
        <v>1.04195306612719</v>
      </c>
      <c r="S16" s="1" t="s">
        <v>17</v>
      </c>
      <c r="T16" s="18" t="s">
        <v>71</v>
      </c>
      <c r="U16" s="21" t="s">
        <v>14</v>
      </c>
      <c r="V16" s="18" t="s">
        <v>9</v>
      </c>
      <c r="W16" s="6">
        <v>8.20478242867914</v>
      </c>
      <c r="X16" s="18" t="s">
        <v>10</v>
      </c>
      <c r="Y16" s="6">
        <v>1.26207354990892</v>
      </c>
      <c r="Z16" s="18" t="s">
        <v>11</v>
      </c>
      <c r="AA16" s="6">
        <v>5.71606238467242</v>
      </c>
      <c r="AB16" s="1" t="s">
        <v>12</v>
      </c>
      <c r="AC16" s="6">
        <v>-1.28492377163383</v>
      </c>
      <c r="AD16" s="1" t="s">
        <v>13</v>
      </c>
      <c r="AE16" s="6">
        <v>-7.82658214229189</v>
      </c>
    </row>
    <row r="17" s="1" customFormat="1" spans="8:31">
      <c r="H17" s="1">
        <v>66.6666666666667</v>
      </c>
      <c r="I17" s="1">
        <v>50</v>
      </c>
      <c r="J17" s="1">
        <v>83.3333333333333</v>
      </c>
      <c r="K17" s="1">
        <v>58.3333333333333</v>
      </c>
      <c r="M17" s="1">
        <v>91.6666666666667</v>
      </c>
      <c r="N17" s="1">
        <v>50</v>
      </c>
      <c r="O17" s="1">
        <v>66.6666666666667</v>
      </c>
      <c r="P17" s="1">
        <v>66.6666666666667</v>
      </c>
      <c r="Q17" s="1">
        <v>91.6666666666667</v>
      </c>
      <c r="S17" s="1" t="s">
        <v>18</v>
      </c>
      <c r="T17" s="18" t="s">
        <v>71</v>
      </c>
      <c r="U17" s="21" t="s">
        <v>14</v>
      </c>
      <c r="V17" s="18" t="s">
        <v>9</v>
      </c>
      <c r="W17" s="6">
        <v>0.313397951921127</v>
      </c>
      <c r="X17" s="18" t="s">
        <v>10</v>
      </c>
      <c r="Y17" s="6">
        <v>0.161242275304936</v>
      </c>
      <c r="Z17" s="18" t="s">
        <v>11</v>
      </c>
      <c r="AA17" s="6">
        <v>-0.601388018896924</v>
      </c>
      <c r="AB17" s="1" t="s">
        <v>12</v>
      </c>
      <c r="AC17" s="6">
        <v>-0.0613048258850068</v>
      </c>
      <c r="AD17" s="1" t="s">
        <v>13</v>
      </c>
      <c r="AE17" s="6">
        <v>1.08390613225438</v>
      </c>
    </row>
    <row r="18" s="1" customFormat="1" spans="4:31">
      <c r="D18" s="1" t="s">
        <v>108</v>
      </c>
      <c r="S18" s="17" t="s">
        <v>19</v>
      </c>
      <c r="T18" s="18" t="s">
        <v>71</v>
      </c>
      <c r="U18" s="21" t="s">
        <v>14</v>
      </c>
      <c r="V18" s="18" t="s">
        <v>9</v>
      </c>
      <c r="W18" s="6">
        <v>3.82880231362043</v>
      </c>
      <c r="X18" s="18" t="s">
        <v>10</v>
      </c>
      <c r="Y18" s="6">
        <v>-3.35784733854368</v>
      </c>
      <c r="Z18" s="18" t="s">
        <v>11</v>
      </c>
      <c r="AA18" s="6">
        <v>-4.97074501245433</v>
      </c>
      <c r="AB18" s="1" t="s">
        <v>12</v>
      </c>
      <c r="AC18" s="6">
        <v>9.18304631234242</v>
      </c>
      <c r="AD18" s="1" t="s">
        <v>13</v>
      </c>
      <c r="AE18" s="6">
        <v>0.221035769322727</v>
      </c>
    </row>
    <row r="19" s="1" customFormat="1" spans="1:31">
      <c r="A19" s="1" t="s">
        <v>85</v>
      </c>
      <c r="B19" s="3" t="s">
        <v>76</v>
      </c>
      <c r="C19" s="3" t="s">
        <v>78</v>
      </c>
      <c r="D19" s="4" t="s">
        <v>11</v>
      </c>
      <c r="E19" s="3" t="s">
        <v>12</v>
      </c>
      <c r="F19" s="5" t="s">
        <v>13</v>
      </c>
      <c r="G19" s="1" t="s">
        <v>86</v>
      </c>
      <c r="H19" s="3" t="s">
        <v>76</v>
      </c>
      <c r="I19" s="3" t="s">
        <v>78</v>
      </c>
      <c r="J19" s="4" t="s">
        <v>11</v>
      </c>
      <c r="K19" s="3" t="s">
        <v>12</v>
      </c>
      <c r="L19" s="5" t="s">
        <v>87</v>
      </c>
      <c r="M19" s="3" t="s">
        <v>76</v>
      </c>
      <c r="N19" s="3" t="s">
        <v>78</v>
      </c>
      <c r="O19" s="4" t="s">
        <v>11</v>
      </c>
      <c r="P19" s="3" t="s">
        <v>12</v>
      </c>
      <c r="Q19" s="5" t="s">
        <v>13</v>
      </c>
      <c r="S19" s="19" t="s">
        <v>20</v>
      </c>
      <c r="T19" s="18" t="s">
        <v>71</v>
      </c>
      <c r="U19" s="21" t="s">
        <v>14</v>
      </c>
      <c r="V19" s="20" t="s">
        <v>9</v>
      </c>
      <c r="W19" s="6">
        <v>-1.74255636150041</v>
      </c>
      <c r="X19" s="18" t="s">
        <v>10</v>
      </c>
      <c r="Y19" s="6">
        <v>-0.808796627139782</v>
      </c>
      <c r="Z19" s="18" t="s">
        <v>11</v>
      </c>
      <c r="AA19" s="6">
        <v>-4.62963200198029</v>
      </c>
      <c r="AB19" s="1" t="s">
        <v>12</v>
      </c>
      <c r="AC19" s="6">
        <v>8.54674600379136</v>
      </c>
      <c r="AD19" s="1" t="s">
        <v>13</v>
      </c>
      <c r="AE19" s="6">
        <v>2.66031457588877</v>
      </c>
    </row>
    <row r="20" s="1" customFormat="1" spans="2:31">
      <c r="B20" s="6">
        <v>2.7447512682762</v>
      </c>
      <c r="C20" s="6">
        <v>-2.35016180486648</v>
      </c>
      <c r="D20" s="6">
        <v>-0.561988371406782</v>
      </c>
      <c r="E20" s="6">
        <v>-5.27232850951806</v>
      </c>
      <c r="F20" s="6">
        <v>0.810839220913916</v>
      </c>
      <c r="G20" s="1" t="s">
        <v>72</v>
      </c>
      <c r="H20" s="6">
        <v>6.05196592815536</v>
      </c>
      <c r="I20" s="6">
        <v>-9.42663635238622</v>
      </c>
      <c r="J20" s="6">
        <v>-0.881946135236304</v>
      </c>
      <c r="K20" s="6">
        <v>-5.93817734272403</v>
      </c>
      <c r="L20" s="6"/>
      <c r="M20" s="6">
        <v>-3.31289904547196</v>
      </c>
      <c r="N20" s="6">
        <v>-1.59780607011921</v>
      </c>
      <c r="O20" s="6">
        <v>-6.02923392952883</v>
      </c>
      <c r="P20" s="6">
        <v>-1.54187493476879</v>
      </c>
      <c r="Q20" s="6">
        <v>1.11260694891897</v>
      </c>
      <c r="S20" s="17" t="s">
        <v>21</v>
      </c>
      <c r="T20" s="18" t="s">
        <v>71</v>
      </c>
      <c r="U20" s="21" t="s">
        <v>14</v>
      </c>
      <c r="V20" s="18" t="s">
        <v>9</v>
      </c>
      <c r="W20" s="6">
        <v>-2.1848577846182</v>
      </c>
      <c r="X20" s="18" t="s">
        <v>10</v>
      </c>
      <c r="Y20" s="6">
        <v>-0.731609289911226</v>
      </c>
      <c r="Z20" s="18" t="s">
        <v>11</v>
      </c>
      <c r="AA20" s="6">
        <v>1.80691892424651</v>
      </c>
      <c r="AB20" s="1" t="s">
        <v>12</v>
      </c>
      <c r="AC20" s="6">
        <v>1.14563359939187</v>
      </c>
      <c r="AD20" s="1" t="s">
        <v>13</v>
      </c>
      <c r="AE20" s="6">
        <v>1.99299862312461</v>
      </c>
    </row>
    <row r="21" s="1" customFormat="1" spans="2:31">
      <c r="B21" s="6">
        <v>-1.71617290178864</v>
      </c>
      <c r="C21" s="6">
        <v>-2.28048912910147</v>
      </c>
      <c r="D21" s="6">
        <v>-3.46784093408621</v>
      </c>
      <c r="E21" s="6">
        <v>-4.61971166184581</v>
      </c>
      <c r="F21" s="6">
        <v>3.06128753733445</v>
      </c>
      <c r="H21" s="6">
        <v>1.66300900764643</v>
      </c>
      <c r="I21" s="6">
        <v>-0.381661503285941</v>
      </c>
      <c r="J21" s="6">
        <v>-4.35282045474974</v>
      </c>
      <c r="K21" s="6">
        <v>-6.39603446908482</v>
      </c>
      <c r="L21" s="6"/>
      <c r="M21" s="6">
        <v>0.379180464635821</v>
      </c>
      <c r="N21" s="6">
        <v>-3.54338241989304</v>
      </c>
      <c r="O21" s="6">
        <v>-3.10852778282546</v>
      </c>
      <c r="P21" s="6">
        <v>-2.68200368924992</v>
      </c>
      <c r="Q21" s="6">
        <v>-0.452173764501153</v>
      </c>
      <c r="S21" s="17" t="s">
        <v>22</v>
      </c>
      <c r="T21" s="18" t="s">
        <v>71</v>
      </c>
      <c r="U21" s="21" t="s">
        <v>14</v>
      </c>
      <c r="V21" s="18" t="s">
        <v>9</v>
      </c>
      <c r="W21" s="6">
        <v>-2.1848577846182</v>
      </c>
      <c r="X21" s="18" t="s">
        <v>10</v>
      </c>
      <c r="Y21" s="6">
        <v>-0.731609289911226</v>
      </c>
      <c r="Z21" s="18" t="s">
        <v>11</v>
      </c>
      <c r="AA21" s="6">
        <v>1.80691892424651</v>
      </c>
      <c r="AB21" s="1" t="s">
        <v>12</v>
      </c>
      <c r="AC21" s="6">
        <v>1.14563359939187</v>
      </c>
      <c r="AD21" s="1" t="s">
        <v>13</v>
      </c>
      <c r="AE21" s="6">
        <v>1.99299862312461</v>
      </c>
    </row>
    <row r="22" s="1" customFormat="1" spans="2:31">
      <c r="B22" s="6">
        <v>-2.33958331024252</v>
      </c>
      <c r="C22" s="6">
        <v>-1.53500169548375</v>
      </c>
      <c r="D22" s="6">
        <v>-4.74461555445403</v>
      </c>
      <c r="E22" s="6">
        <v>2.55563837682425</v>
      </c>
      <c r="F22" s="6">
        <v>5.07699367227475</v>
      </c>
      <c r="H22" s="6">
        <v>-0.883460330659727</v>
      </c>
      <c r="I22" s="10">
        <v>-1.33182266617404</v>
      </c>
      <c r="J22" s="6">
        <v>-3.70540681026414</v>
      </c>
      <c r="K22" s="6">
        <v>-2.08244534871102</v>
      </c>
      <c r="L22" s="11"/>
      <c r="M22" s="6">
        <v>0.512335635575268</v>
      </c>
      <c r="N22" s="6">
        <v>0.946091791853197</v>
      </c>
      <c r="O22" s="6">
        <v>0.829459668275293</v>
      </c>
      <c r="P22" s="6">
        <v>-1.98553411566203</v>
      </c>
      <c r="Q22" s="6">
        <v>1.9680469814484</v>
      </c>
      <c r="S22" s="19" t="s">
        <v>23</v>
      </c>
      <c r="T22" s="18" t="s">
        <v>71</v>
      </c>
      <c r="U22" s="21" t="s">
        <v>14</v>
      </c>
      <c r="V22" s="18" t="s">
        <v>9</v>
      </c>
      <c r="W22" s="6">
        <v>-4.87929162306003</v>
      </c>
      <c r="X22" s="18" t="s">
        <v>10</v>
      </c>
      <c r="Y22" s="6">
        <v>1.87946228505974</v>
      </c>
      <c r="Z22" s="18" t="s">
        <v>11</v>
      </c>
      <c r="AA22" s="6">
        <v>-2.58649935685894</v>
      </c>
      <c r="AB22" s="1" t="s">
        <v>12</v>
      </c>
      <c r="AC22" s="6">
        <v>1.5940699736264</v>
      </c>
      <c r="AD22" s="1" t="s">
        <v>13</v>
      </c>
      <c r="AE22" s="6">
        <v>4.53676117703726</v>
      </c>
    </row>
    <row r="23" s="1" customFormat="1" spans="2:31">
      <c r="B23" s="6">
        <v>-0.866647160059791</v>
      </c>
      <c r="C23" s="6">
        <v>7.02687634283246</v>
      </c>
      <c r="D23" s="6">
        <v>-0.355129248257701</v>
      </c>
      <c r="E23" s="6">
        <v>6.47226644486972</v>
      </c>
      <c r="F23" s="6">
        <v>1.37555548497709</v>
      </c>
      <c r="H23" s="6">
        <v>3.22011024155084</v>
      </c>
      <c r="I23" s="6">
        <v>5.21088147178359</v>
      </c>
      <c r="J23" s="6">
        <v>-4.41652313005898</v>
      </c>
      <c r="K23" s="6">
        <v>-0.936969095809798</v>
      </c>
      <c r="L23" s="6"/>
      <c r="M23" s="6">
        <v>-1.35512429562095</v>
      </c>
      <c r="N23" s="6">
        <v>1.86548249998603</v>
      </c>
      <c r="O23" s="6">
        <v>-1.61273600926544</v>
      </c>
      <c r="P23" s="6">
        <v>4.35756286450604</v>
      </c>
      <c r="Q23" s="6">
        <v>-3.19467961068035</v>
      </c>
      <c r="S23" s="17" t="s">
        <v>24</v>
      </c>
      <c r="T23" s="18" t="s">
        <v>71</v>
      </c>
      <c r="U23" s="21" t="s">
        <v>14</v>
      </c>
      <c r="V23" s="18" t="s">
        <v>9</v>
      </c>
      <c r="W23" s="6">
        <v>5.57326539353473</v>
      </c>
      <c r="X23" s="18" t="s">
        <v>10</v>
      </c>
      <c r="Y23" s="6">
        <v>-2.29242063049508</v>
      </c>
      <c r="Z23" s="18" t="s">
        <v>11</v>
      </c>
      <c r="AA23" s="6">
        <v>1.01631186537221</v>
      </c>
      <c r="AB23" s="1" t="s">
        <v>12</v>
      </c>
      <c r="AC23" s="6">
        <v>1.50478019856865</v>
      </c>
      <c r="AD23" s="1" t="s">
        <v>13</v>
      </c>
      <c r="AE23" s="6">
        <v>0.916666349882351</v>
      </c>
    </row>
    <row r="24" s="1" customFormat="1" spans="2:31">
      <c r="B24" s="6">
        <v>-7.23858211297265</v>
      </c>
      <c r="C24" s="6">
        <v>-3.83123150819424</v>
      </c>
      <c r="D24" s="6">
        <v>2.55753099810748</v>
      </c>
      <c r="E24" s="6">
        <v>0.97044784134282</v>
      </c>
      <c r="F24" s="6">
        <v>1.02722602950451</v>
      </c>
      <c r="H24" s="6">
        <v>-3.76287289467604</v>
      </c>
      <c r="I24" s="6">
        <v>-0.558138959515863</v>
      </c>
      <c r="J24" s="6">
        <v>0.858394289583531</v>
      </c>
      <c r="K24" s="6">
        <v>0.82607302930651</v>
      </c>
      <c r="L24" s="6"/>
      <c r="M24" s="6">
        <v>-5.38995940669902</v>
      </c>
      <c r="N24" s="6">
        <v>0.398233230126398</v>
      </c>
      <c r="O24" s="6">
        <v>6.57556603131666</v>
      </c>
      <c r="P24" s="6">
        <v>-0.674915411493499</v>
      </c>
      <c r="Q24" s="6">
        <v>0.451433929650201</v>
      </c>
      <c r="S24" s="17" t="s">
        <v>25</v>
      </c>
      <c r="T24" s="18" t="s">
        <v>71</v>
      </c>
      <c r="U24" s="21" t="s">
        <v>14</v>
      </c>
      <c r="V24" s="18" t="s">
        <v>9</v>
      </c>
      <c r="W24" s="6">
        <v>1.74821788961794</v>
      </c>
      <c r="X24" s="18" t="s">
        <v>10</v>
      </c>
      <c r="Y24" s="6">
        <v>-0.895933874727997</v>
      </c>
      <c r="Z24" s="18" t="s">
        <v>11</v>
      </c>
      <c r="AA24" s="6">
        <v>-1.70349379733764</v>
      </c>
      <c r="AB24" s="1" t="s">
        <v>12</v>
      </c>
      <c r="AC24" s="6">
        <v>2.862831141951</v>
      </c>
      <c r="AD24" s="1" t="s">
        <v>13</v>
      </c>
      <c r="AE24" s="6">
        <v>-3.62816029830502</v>
      </c>
    </row>
    <row r="25" s="1" customFormat="1" spans="2:31">
      <c r="B25" s="6">
        <v>0.369114771405599</v>
      </c>
      <c r="C25" s="6">
        <v>-1.46864610845147</v>
      </c>
      <c r="D25" s="6">
        <v>-0.232314800206881</v>
      </c>
      <c r="E25" s="6">
        <v>-1.5215950245649</v>
      </c>
      <c r="F25" s="6">
        <v>0.455576191863234</v>
      </c>
      <c r="H25" s="6">
        <v>-1.78902085215105</v>
      </c>
      <c r="I25" s="6">
        <v>-2.03627043193959</v>
      </c>
      <c r="J25" s="6">
        <v>1.28477523913323</v>
      </c>
      <c r="K25" s="6">
        <v>0.612045851433486</v>
      </c>
      <c r="L25" s="6"/>
      <c r="M25" s="6">
        <v>-0.419401754665777</v>
      </c>
      <c r="N25" s="6">
        <v>-1.66100450567536</v>
      </c>
      <c r="O25" s="6">
        <v>0.963157888435534</v>
      </c>
      <c r="P25" s="6">
        <v>-3.18137208827959</v>
      </c>
      <c r="Q25" s="6">
        <v>1.80715624143457</v>
      </c>
      <c r="S25" s="17" t="s">
        <v>26</v>
      </c>
      <c r="T25" s="18" t="s">
        <v>71</v>
      </c>
      <c r="U25" s="21" t="s">
        <v>14</v>
      </c>
      <c r="V25" s="18" t="s">
        <v>9</v>
      </c>
      <c r="W25" s="6">
        <v>-0.852470494794252</v>
      </c>
      <c r="X25" s="18" t="s">
        <v>10</v>
      </c>
      <c r="Y25" s="6">
        <v>-2.95591424443598</v>
      </c>
      <c r="Z25" s="18" t="s">
        <v>11</v>
      </c>
      <c r="AA25" s="6">
        <v>1.38054032288692</v>
      </c>
      <c r="AB25" s="1" t="s">
        <v>12</v>
      </c>
      <c r="AC25" s="6">
        <v>-1.25345670369952</v>
      </c>
      <c r="AD25" s="1" t="s">
        <v>13</v>
      </c>
      <c r="AE25" s="6">
        <v>3.06397759453762</v>
      </c>
    </row>
    <row r="26" s="1" customFormat="1" spans="2:31">
      <c r="B26" s="6">
        <v>2.11229402165468</v>
      </c>
      <c r="C26" s="6">
        <v>-1.27902893409876</v>
      </c>
      <c r="D26" s="6">
        <v>-5.41839653994765</v>
      </c>
      <c r="E26" s="8">
        <v>5.49045248781657</v>
      </c>
      <c r="F26" s="6">
        <v>3.22974421229751</v>
      </c>
      <c r="H26" s="6">
        <v>3.85722990454043</v>
      </c>
      <c r="I26" s="6">
        <v>0.713367089648983</v>
      </c>
      <c r="J26" s="6">
        <v>-9.31134174274711</v>
      </c>
      <c r="K26" s="6">
        <v>-1.90255303283082</v>
      </c>
      <c r="L26" s="6"/>
      <c r="M26" s="6">
        <v>2.28807407889524</v>
      </c>
      <c r="N26" s="6">
        <v>-7.21223434819884</v>
      </c>
      <c r="O26" s="6">
        <v>-3.14087551114355</v>
      </c>
      <c r="P26" s="6">
        <v>-4.30596153709484</v>
      </c>
      <c r="Q26" s="6">
        <v>0.724793784662572</v>
      </c>
      <c r="S26" s="4" t="s">
        <v>0</v>
      </c>
      <c r="T26" s="14" t="s">
        <v>65</v>
      </c>
      <c r="U26" s="15" t="s">
        <v>2</v>
      </c>
      <c r="V26" s="16"/>
      <c r="W26" s="3" t="s">
        <v>3</v>
      </c>
      <c r="X26" s="3"/>
      <c r="Y26" s="3" t="s">
        <v>3</v>
      </c>
      <c r="Z26" s="3"/>
      <c r="AA26" s="3" t="s">
        <v>3</v>
      </c>
      <c r="AB26" s="5"/>
      <c r="AC26" s="3" t="s">
        <v>3</v>
      </c>
      <c r="AE26" s="3" t="s">
        <v>3</v>
      </c>
    </row>
    <row r="27" s="1" customFormat="1" spans="2:31">
      <c r="B27" s="6">
        <v>-0.587552046406467</v>
      </c>
      <c r="C27" s="6">
        <v>2.19091967996872</v>
      </c>
      <c r="D27" s="6">
        <v>-1.70772169149646</v>
      </c>
      <c r="E27" s="6">
        <v>5.74500162906487</v>
      </c>
      <c r="F27" s="6">
        <v>1.54065060392544</v>
      </c>
      <c r="H27" s="6">
        <v>0.562240229599822</v>
      </c>
      <c r="I27" s="6">
        <v>-2.00289436570512</v>
      </c>
      <c r="J27" s="6">
        <v>-4.85311273906461</v>
      </c>
      <c r="K27" s="6">
        <v>-1.17585603284611</v>
      </c>
      <c r="L27" s="6"/>
      <c r="M27" s="6">
        <v>1.59128925974493</v>
      </c>
      <c r="N27" s="6">
        <v>-2.37095889091372</v>
      </c>
      <c r="O27" s="6">
        <v>1.93623723784048</v>
      </c>
      <c r="P27" s="6">
        <v>-3.83524790412312</v>
      </c>
      <c r="Q27" s="6">
        <v>-1.60135787544475</v>
      </c>
      <c r="S27" s="17" t="s">
        <v>44</v>
      </c>
      <c r="T27" s="14" t="s">
        <v>72</v>
      </c>
      <c r="U27" s="18" t="s">
        <v>14</v>
      </c>
      <c r="V27" s="18" t="s">
        <v>9</v>
      </c>
      <c r="W27" s="6">
        <v>9.33958069427796</v>
      </c>
      <c r="X27" s="18" t="s">
        <v>10</v>
      </c>
      <c r="Y27" s="6">
        <v>-4.30890957907608</v>
      </c>
      <c r="Z27" s="18" t="s">
        <v>11</v>
      </c>
      <c r="AA27" s="6">
        <v>-2.93277657467505</v>
      </c>
      <c r="AB27" s="1" t="s">
        <v>12</v>
      </c>
      <c r="AC27" s="6">
        <v>0.0121141139923031</v>
      </c>
      <c r="AD27" s="1" t="s">
        <v>13</v>
      </c>
      <c r="AE27" s="6">
        <v>1.84318134806256</v>
      </c>
    </row>
    <row r="28" s="1" customFormat="1" spans="2:31">
      <c r="B28" s="6">
        <v>2.00817498712005</v>
      </c>
      <c r="C28" s="6">
        <v>-2.70949417517691</v>
      </c>
      <c r="D28" s="6">
        <v>0.489087836211613</v>
      </c>
      <c r="E28" s="6">
        <v>-2.1625319740219</v>
      </c>
      <c r="F28" s="6">
        <v>0.296098433421646</v>
      </c>
      <c r="H28" s="6">
        <v>1.62364120161206</v>
      </c>
      <c r="I28" s="6">
        <v>-2.40688983482632</v>
      </c>
      <c r="J28" s="6">
        <v>-2.49689487809633</v>
      </c>
      <c r="K28" s="6">
        <v>-2.11966354069644</v>
      </c>
      <c r="L28" s="6"/>
      <c r="M28" s="6">
        <v>0.410744603157971</v>
      </c>
      <c r="N28" s="6">
        <v>0.925292276111887</v>
      </c>
      <c r="O28" s="6">
        <v>1.07523699647225</v>
      </c>
      <c r="P28" s="6">
        <v>1.46808132350823</v>
      </c>
      <c r="Q28" s="6">
        <v>-0.772720651046604</v>
      </c>
      <c r="S28" s="17" t="s">
        <v>33</v>
      </c>
      <c r="T28" s="14" t="s">
        <v>72</v>
      </c>
      <c r="U28" s="18" t="s">
        <v>14</v>
      </c>
      <c r="V28" s="18" t="s">
        <v>9</v>
      </c>
      <c r="W28" s="6">
        <v>4.57614815779048</v>
      </c>
      <c r="X28" s="18" t="s">
        <v>10</v>
      </c>
      <c r="Y28" s="6">
        <v>-7.21223434819884</v>
      </c>
      <c r="Z28" s="18" t="s">
        <v>11</v>
      </c>
      <c r="AA28" s="6">
        <v>-3.14087551114355</v>
      </c>
      <c r="AB28" s="1" t="s">
        <v>12</v>
      </c>
      <c r="AC28" s="6">
        <v>-4.30596153709484</v>
      </c>
      <c r="AD28" s="1" t="s">
        <v>13</v>
      </c>
      <c r="AE28" s="6">
        <v>0.724793784662572</v>
      </c>
    </row>
    <row r="29" s="1" customFormat="1" spans="2:31">
      <c r="B29" s="6">
        <v>2.60954857369413</v>
      </c>
      <c r="C29" s="6">
        <v>0.270727333870706</v>
      </c>
      <c r="D29" s="6">
        <v>-2.92581720931478</v>
      </c>
      <c r="E29" s="6">
        <v>-0.560066146492635</v>
      </c>
      <c r="F29" s="6">
        <v>0.454295108348745</v>
      </c>
      <c r="H29" s="6">
        <v>1.64398921620798</v>
      </c>
      <c r="I29" s="6">
        <v>2.19781199267954</v>
      </c>
      <c r="J29" s="6">
        <v>-2.16382993892177</v>
      </c>
      <c r="K29" s="6">
        <v>0.562707513901283</v>
      </c>
      <c r="L29" s="6"/>
      <c r="M29" s="6">
        <v>0.565500977721784</v>
      </c>
      <c r="N29" s="6">
        <v>0.858839346237144</v>
      </c>
      <c r="O29" s="6">
        <v>2.813200240639</v>
      </c>
      <c r="P29" s="6">
        <v>-3.0842478487391</v>
      </c>
      <c r="Q29" s="6">
        <v>0.261346802840069</v>
      </c>
      <c r="S29" s="17" t="s">
        <v>34</v>
      </c>
      <c r="T29" s="14" t="s">
        <v>72</v>
      </c>
      <c r="U29" s="18" t="s">
        <v>14</v>
      </c>
      <c r="V29" s="18" t="s">
        <v>9</v>
      </c>
      <c r="W29" s="6">
        <v>3.18257851948986</v>
      </c>
      <c r="X29" s="18" t="s">
        <v>10</v>
      </c>
      <c r="Y29" s="6">
        <v>-2.37095889091372</v>
      </c>
      <c r="Z29" s="18" t="s">
        <v>11</v>
      </c>
      <c r="AA29" s="6">
        <v>1.93623723784048</v>
      </c>
      <c r="AB29" s="1" t="s">
        <v>12</v>
      </c>
      <c r="AC29" s="6">
        <v>-3.83524790412312</v>
      </c>
      <c r="AD29" s="1" t="s">
        <v>13</v>
      </c>
      <c r="AE29" s="6">
        <v>-1.60135787544475</v>
      </c>
    </row>
    <row r="30" s="1" customFormat="1" spans="2:31">
      <c r="B30" s="6">
        <v>0.297842369674394</v>
      </c>
      <c r="C30" s="6">
        <v>-1.68718859563088</v>
      </c>
      <c r="D30" s="6">
        <v>-2.2820827900733</v>
      </c>
      <c r="E30" s="6">
        <v>4.01338075042661</v>
      </c>
      <c r="F30" s="6">
        <v>2.23719630334933</v>
      </c>
      <c r="H30" s="6">
        <v>-3.17330799963331</v>
      </c>
      <c r="I30" s="10">
        <v>-1.14199008421248</v>
      </c>
      <c r="J30" s="6">
        <v>4.12082059178829</v>
      </c>
      <c r="K30" s="6">
        <v>1.39017894713953</v>
      </c>
      <c r="L30" s="6"/>
      <c r="M30" s="6">
        <v>-0.667875501381696</v>
      </c>
      <c r="N30" s="6">
        <v>-0.672627288223306</v>
      </c>
      <c r="O30" s="6">
        <v>0.39525977351962</v>
      </c>
      <c r="P30" s="6">
        <v>1.64311799788783</v>
      </c>
      <c r="Q30" s="6">
        <v>0.646216131312303</v>
      </c>
      <c r="S30" s="1" t="s">
        <v>73</v>
      </c>
      <c r="T30" s="14" t="s">
        <v>72</v>
      </c>
      <c r="U30" s="18" t="s">
        <v>14</v>
      </c>
      <c r="V30" s="18" t="s">
        <v>9</v>
      </c>
      <c r="W30" s="6">
        <v>1.13100195544357</v>
      </c>
      <c r="X30" s="18" t="s">
        <v>10</v>
      </c>
      <c r="Y30" s="6">
        <v>0.858839346237144</v>
      </c>
      <c r="Z30" s="18" t="s">
        <v>11</v>
      </c>
      <c r="AA30" s="6">
        <v>2.813200240639</v>
      </c>
      <c r="AB30" s="1" t="s">
        <v>12</v>
      </c>
      <c r="AC30" s="6">
        <v>-3.0842478487391</v>
      </c>
      <c r="AD30" s="1" t="s">
        <v>13</v>
      </c>
      <c r="AE30" s="6">
        <v>0.261346802840069</v>
      </c>
    </row>
    <row r="31" s="1" customFormat="1" spans="2:31">
      <c r="B31" s="6">
        <v>0.774071087689286</v>
      </c>
      <c r="C31" s="6">
        <v>-2.08883127408563</v>
      </c>
      <c r="D31" s="6">
        <v>-4.08668096303112</v>
      </c>
      <c r="E31" s="6">
        <v>5.37809944742033</v>
      </c>
      <c r="F31" s="6">
        <v>-0.0916621561677366</v>
      </c>
      <c r="H31" s="6">
        <v>-2.38945092540435</v>
      </c>
      <c r="I31" s="6">
        <v>0.0865044052756685</v>
      </c>
      <c r="J31" s="6">
        <v>3.86748490435132</v>
      </c>
      <c r="K31" s="6">
        <v>0.845878478603275</v>
      </c>
      <c r="L31" s="6"/>
      <c r="M31" s="6">
        <v>0.344725009047694</v>
      </c>
      <c r="N31" s="6">
        <v>0.677264450426794</v>
      </c>
      <c r="O31" s="6">
        <v>-0.255694463502458</v>
      </c>
      <c r="P31" s="6">
        <v>2.90817119581938</v>
      </c>
      <c r="Q31" s="6">
        <v>0.567289600478986</v>
      </c>
      <c r="S31" s="17" t="s">
        <v>29</v>
      </c>
      <c r="T31" s="14" t="s">
        <v>72</v>
      </c>
      <c r="U31" s="18" t="s">
        <v>14</v>
      </c>
      <c r="V31" s="18" t="s">
        <v>9</v>
      </c>
      <c r="W31" s="6">
        <v>1.02467127115054</v>
      </c>
      <c r="X31" s="18" t="s">
        <v>10</v>
      </c>
      <c r="Y31" s="6">
        <v>0.946091791853197</v>
      </c>
      <c r="Z31" s="18" t="s">
        <v>11</v>
      </c>
      <c r="AA31" s="6">
        <v>0.829459668275293</v>
      </c>
      <c r="AB31" s="1" t="s">
        <v>12</v>
      </c>
      <c r="AC31" s="6">
        <v>-1.98553411566203</v>
      </c>
      <c r="AD31" s="1" t="s">
        <v>13</v>
      </c>
      <c r="AE31" s="6">
        <v>1.9680469814484</v>
      </c>
    </row>
    <row r="32" s="1" customFormat="1" spans="2:31">
      <c r="B32" s="6">
        <v>0.786859745522857</v>
      </c>
      <c r="C32" s="6">
        <v>-1.08142754727531</v>
      </c>
      <c r="D32" s="6">
        <v>-0.00785830285586383</v>
      </c>
      <c r="E32" s="6">
        <v>-6.46850450320321</v>
      </c>
      <c r="F32" s="6">
        <v>0.135359962612309</v>
      </c>
      <c r="H32" s="6">
        <v>1.22941652906395</v>
      </c>
      <c r="I32" s="6">
        <v>-1.33741409778011</v>
      </c>
      <c r="J32" s="6">
        <v>-0.615156590563836</v>
      </c>
      <c r="K32" s="6">
        <v>-3.73019959007316</v>
      </c>
      <c r="L32" s="6"/>
      <c r="M32" s="6">
        <v>-0.769917690073369</v>
      </c>
      <c r="N32" s="6">
        <v>0.613018864938136</v>
      </c>
      <c r="O32" s="6">
        <v>-2.55064307744587</v>
      </c>
      <c r="P32" s="6">
        <v>-0.5799834550514</v>
      </c>
      <c r="Q32" s="6">
        <v>0.290256451761588</v>
      </c>
      <c r="S32" s="17" t="s">
        <v>35</v>
      </c>
      <c r="T32" s="14" t="s">
        <v>72</v>
      </c>
      <c r="U32" s="18" t="s">
        <v>14</v>
      </c>
      <c r="V32" s="18" t="s">
        <v>9</v>
      </c>
      <c r="W32" s="6">
        <v>0.821489206315942</v>
      </c>
      <c r="X32" s="18" t="s">
        <v>10</v>
      </c>
      <c r="Y32" s="6">
        <v>0.925292276111887</v>
      </c>
      <c r="Z32" s="18" t="s">
        <v>11</v>
      </c>
      <c r="AA32" s="6">
        <v>1.07523699647225</v>
      </c>
      <c r="AB32" s="1" t="s">
        <v>12</v>
      </c>
      <c r="AC32" s="6">
        <v>1.46808132350823</v>
      </c>
      <c r="AD32" s="1" t="s">
        <v>13</v>
      </c>
      <c r="AE32" s="6">
        <v>-0.772720651046604</v>
      </c>
    </row>
    <row r="33" s="1" customFormat="1" spans="2:31">
      <c r="B33" s="6">
        <v>-2.87531014994948</v>
      </c>
      <c r="C33" s="6">
        <v>11.3144119549446</v>
      </c>
      <c r="D33" s="6">
        <v>2.60635090092617</v>
      </c>
      <c r="E33" s="6">
        <v>3.42649155490206</v>
      </c>
      <c r="F33" s="6">
        <v>-5.19504946120841</v>
      </c>
      <c r="H33" s="6">
        <v>1.05562618588286</v>
      </c>
      <c r="I33" s="6">
        <v>11.8365625466759</v>
      </c>
      <c r="J33" s="6">
        <v>-4.55424181220838</v>
      </c>
      <c r="K33" s="6">
        <v>8.01753568113772</v>
      </c>
      <c r="L33" s="6"/>
      <c r="M33" s="6">
        <v>0.136902716560482</v>
      </c>
      <c r="N33" s="6">
        <v>3.75656895513154</v>
      </c>
      <c r="O33" s="6">
        <v>3.11090061349894</v>
      </c>
      <c r="P33" s="6">
        <v>-3.37606546662259</v>
      </c>
      <c r="Q33" s="6">
        <v>0.0846564881366436</v>
      </c>
      <c r="S33" s="17" t="s">
        <v>28</v>
      </c>
      <c r="T33" s="14" t="s">
        <v>72</v>
      </c>
      <c r="U33" s="18" t="s">
        <v>14</v>
      </c>
      <c r="V33" s="18" t="s">
        <v>9</v>
      </c>
      <c r="W33" s="6">
        <v>0.758360929271642</v>
      </c>
      <c r="X33" s="18" t="s">
        <v>10</v>
      </c>
      <c r="Y33" s="6">
        <v>-3.54338241989304</v>
      </c>
      <c r="Z33" s="18" t="s">
        <v>11</v>
      </c>
      <c r="AA33" s="6">
        <v>-3.10852778282546</v>
      </c>
      <c r="AB33" s="1" t="s">
        <v>12</v>
      </c>
      <c r="AC33" s="6">
        <v>-2.68200368924992</v>
      </c>
      <c r="AD33" s="1" t="s">
        <v>13</v>
      </c>
      <c r="AE33" s="6">
        <v>-0.452173764501153</v>
      </c>
    </row>
    <row r="34" s="1" customFormat="1" spans="2:31">
      <c r="B34" s="6">
        <v>0.664534872354369</v>
      </c>
      <c r="C34" s="6">
        <v>-2.94764597282534</v>
      </c>
      <c r="D34" s="6">
        <v>-1.12501793615272</v>
      </c>
      <c r="E34" s="6">
        <v>-7.9145532749688</v>
      </c>
      <c r="F34" s="6">
        <v>-1.55269978215794</v>
      </c>
      <c r="H34" s="6">
        <v>1.92949640872087</v>
      </c>
      <c r="I34" s="6">
        <v>-1.71000050509268</v>
      </c>
      <c r="J34" s="6">
        <v>-0.505802716445102</v>
      </c>
      <c r="K34" s="6">
        <v>-6.78692336016058</v>
      </c>
      <c r="L34" s="6"/>
      <c r="M34" s="6">
        <v>-2.19987673099148</v>
      </c>
      <c r="N34" s="6">
        <v>3.99757391220325</v>
      </c>
      <c r="O34" s="6">
        <v>-4.61762876162213</v>
      </c>
      <c r="P34" s="6">
        <v>1.9140967027198</v>
      </c>
      <c r="Q34" s="6">
        <v>2.35906134325949</v>
      </c>
      <c r="S34" s="17" t="s">
        <v>38</v>
      </c>
      <c r="T34" s="14" t="s">
        <v>72</v>
      </c>
      <c r="U34" s="18" t="s">
        <v>14</v>
      </c>
      <c r="V34" s="18" t="s">
        <v>9</v>
      </c>
      <c r="W34" s="6">
        <v>0.689450018095388</v>
      </c>
      <c r="X34" s="18" t="s">
        <v>10</v>
      </c>
      <c r="Y34" s="6">
        <v>0.677264450426794</v>
      </c>
      <c r="Z34" s="18" t="s">
        <v>11</v>
      </c>
      <c r="AA34" s="6">
        <v>-0.255694463502458</v>
      </c>
      <c r="AB34" s="1" t="s">
        <v>12</v>
      </c>
      <c r="AC34" s="6">
        <v>2.90817119581938</v>
      </c>
      <c r="AD34" s="1" t="s">
        <v>13</v>
      </c>
      <c r="AE34" s="6">
        <v>0.567289600478986</v>
      </c>
    </row>
    <row r="35" s="1" customFormat="1" spans="2:31">
      <c r="B35" s="6">
        <v>3.97916472618256</v>
      </c>
      <c r="C35" s="6">
        <v>-3.69468308304901</v>
      </c>
      <c r="D35" s="6">
        <v>-5.16662968913806</v>
      </c>
      <c r="E35" s="6">
        <v>-2.88874715823208</v>
      </c>
      <c r="F35" s="6">
        <v>-1.26003817390217</v>
      </c>
      <c r="H35" s="6">
        <v>6.10015686844391</v>
      </c>
      <c r="I35" s="6">
        <v>-6.08154303626314</v>
      </c>
      <c r="J35" s="6">
        <v>-5.43144180584394</v>
      </c>
      <c r="K35" s="6">
        <v>-1.58017895320349</v>
      </c>
      <c r="L35" s="6"/>
      <c r="M35" s="6">
        <v>-4.34668709765231</v>
      </c>
      <c r="N35" s="6">
        <v>4.92494318398817</v>
      </c>
      <c r="O35" s="6">
        <v>-1.61512471150727</v>
      </c>
      <c r="P35" s="6">
        <v>-2.28835778626087</v>
      </c>
      <c r="Q35" s="6">
        <v>-4.55491214947689</v>
      </c>
      <c r="S35" s="17" t="s">
        <v>40</v>
      </c>
      <c r="T35" s="14" t="s">
        <v>72</v>
      </c>
      <c r="U35" s="18" t="s">
        <v>14</v>
      </c>
      <c r="V35" s="18" t="s">
        <v>9</v>
      </c>
      <c r="W35" s="6">
        <v>0.273805433120964</v>
      </c>
      <c r="X35" s="18" t="s">
        <v>10</v>
      </c>
      <c r="Y35" s="6">
        <v>3.75656895513154</v>
      </c>
      <c r="Z35" s="18" t="s">
        <v>11</v>
      </c>
      <c r="AA35" s="6">
        <v>3.11090061349894</v>
      </c>
      <c r="AB35" s="1" t="s">
        <v>12</v>
      </c>
      <c r="AC35" s="6">
        <v>-3.37606546662259</v>
      </c>
      <c r="AD35" s="1" t="s">
        <v>13</v>
      </c>
      <c r="AE35" s="6">
        <v>0.0846564881366436</v>
      </c>
    </row>
    <row r="36" s="1" customFormat="1" spans="2:31">
      <c r="B36" s="6">
        <v>-9.35051827487054</v>
      </c>
      <c r="C36" s="6">
        <v>18.2398329427622</v>
      </c>
      <c r="D36" s="6">
        <v>10.721361081584</v>
      </c>
      <c r="E36" s="6">
        <v>-1.14311640051184</v>
      </c>
      <c r="F36" s="6">
        <v>-3.687714712739</v>
      </c>
      <c r="H36" s="6">
        <v>-3.23684765262649</v>
      </c>
      <c r="I36" s="6">
        <v>11.9226968230976</v>
      </c>
      <c r="J36" s="6">
        <v>0.551731073391546</v>
      </c>
      <c r="K36" s="6">
        <v>6.15291103987205</v>
      </c>
      <c r="L36" s="6"/>
      <c r="M36" s="6"/>
      <c r="N36" s="6">
        <v>11.4106285436217</v>
      </c>
      <c r="O36" s="6">
        <v>9.69763272354087</v>
      </c>
      <c r="P36" s="6">
        <v>-3.19313518605374</v>
      </c>
      <c r="Q36" s="6">
        <v>0.927352376428946</v>
      </c>
      <c r="S36" s="17" t="s">
        <v>32</v>
      </c>
      <c r="T36" s="14" t="s">
        <v>72</v>
      </c>
      <c r="U36" s="18" t="s">
        <v>14</v>
      </c>
      <c r="V36" s="18" t="s">
        <v>9</v>
      </c>
      <c r="W36" s="6">
        <v>-0.419401754665777</v>
      </c>
      <c r="X36" s="18" t="s">
        <v>10</v>
      </c>
      <c r="Y36" s="6">
        <v>-1.66100450567536</v>
      </c>
      <c r="Z36" s="18" t="s">
        <v>11</v>
      </c>
      <c r="AA36" s="6">
        <v>0.963157888435534</v>
      </c>
      <c r="AB36" s="1" t="s">
        <v>12</v>
      </c>
      <c r="AC36" s="6">
        <v>-3.18137208827959</v>
      </c>
      <c r="AD36" s="1" t="s">
        <v>13</v>
      </c>
      <c r="AE36" s="6">
        <v>1.80715624143457</v>
      </c>
    </row>
    <row r="37" s="1" customFormat="1" spans="2:31">
      <c r="B37" s="6">
        <v>3.90297515565859</v>
      </c>
      <c r="C37" s="6">
        <v>-3.59077852645746</v>
      </c>
      <c r="D37" s="6">
        <v>-1.46177279193755</v>
      </c>
      <c r="E37" s="6">
        <v>-4.40311905477016</v>
      </c>
      <c r="F37" s="6">
        <v>1.54669685577548</v>
      </c>
      <c r="H37" s="6">
        <v>0.853917529185095</v>
      </c>
      <c r="I37" s="6">
        <v>-2.40398944682911</v>
      </c>
      <c r="J37" s="6">
        <v>-1.27596375346381</v>
      </c>
      <c r="K37" s="6">
        <v>-4.43387121952986</v>
      </c>
      <c r="L37" s="6"/>
      <c r="M37" s="6">
        <v>4.66979034713898</v>
      </c>
      <c r="N37" s="6">
        <v>-4.30890957907608</v>
      </c>
      <c r="O37" s="6">
        <v>-2.93277657467505</v>
      </c>
      <c r="P37" s="6">
        <v>0.0121141139923031</v>
      </c>
      <c r="Q37" s="6">
        <v>1.84318134806256</v>
      </c>
      <c r="S37" s="17" t="s">
        <v>37</v>
      </c>
      <c r="T37" s="14" t="s">
        <v>72</v>
      </c>
      <c r="U37" s="18" t="s">
        <v>14</v>
      </c>
      <c r="V37" s="18" t="s">
        <v>9</v>
      </c>
      <c r="W37" s="6">
        <v>-0.667875501381696</v>
      </c>
      <c r="X37" s="18" t="s">
        <v>10</v>
      </c>
      <c r="Y37" s="6">
        <v>-0.672627288223306</v>
      </c>
      <c r="Z37" s="18" t="s">
        <v>11</v>
      </c>
      <c r="AA37" s="6">
        <v>0.39525977351962</v>
      </c>
      <c r="AB37" s="1" t="s">
        <v>12</v>
      </c>
      <c r="AC37" s="6">
        <v>1.64311799788783</v>
      </c>
      <c r="AD37" s="1" t="s">
        <v>13</v>
      </c>
      <c r="AE37" s="6">
        <v>0.646216131312303</v>
      </c>
    </row>
    <row r="38" s="2" customFormat="1" spans="13:31">
      <c r="M38" s="12"/>
      <c r="S38" s="17" t="s">
        <v>39</v>
      </c>
      <c r="T38" s="14" t="s">
        <v>72</v>
      </c>
      <c r="U38" s="18" t="s">
        <v>14</v>
      </c>
      <c r="V38" s="18" t="s">
        <v>9</v>
      </c>
      <c r="W38" s="6">
        <v>-0.769917690073369</v>
      </c>
      <c r="X38" s="18" t="s">
        <v>10</v>
      </c>
      <c r="Y38" s="6">
        <v>0.613018864938136</v>
      </c>
      <c r="Z38" s="18" t="s">
        <v>11</v>
      </c>
      <c r="AA38" s="6">
        <v>-2.55064307744587</v>
      </c>
      <c r="AB38" s="1" t="s">
        <v>12</v>
      </c>
      <c r="AC38" s="6">
        <v>-0.5799834550514</v>
      </c>
      <c r="AD38" s="1" t="s">
        <v>13</v>
      </c>
      <c r="AE38" s="6">
        <v>0.290256451761588</v>
      </c>
    </row>
    <row r="39" s="1" customFormat="1" spans="1:31">
      <c r="A39" s="1" t="s">
        <v>106</v>
      </c>
      <c r="B39" s="1">
        <f t="shared" ref="B39:F39" si="6">AVERAGE(B20:B37)</f>
        <v>-0.262501909836521</v>
      </c>
      <c r="C39" s="9">
        <f t="shared" si="6"/>
        <v>0.472119994426776</v>
      </c>
      <c r="D39" s="1">
        <f t="shared" si="6"/>
        <v>-0.953863111418325</v>
      </c>
      <c r="E39" s="7">
        <f t="shared" si="6"/>
        <v>-0.16124973197012</v>
      </c>
      <c r="F39" s="1">
        <f t="shared" si="6"/>
        <v>0.52557529613462</v>
      </c>
      <c r="G39" s="1" t="s">
        <v>109</v>
      </c>
      <c r="H39" s="2">
        <f t="shared" ref="H39:K39" si="7">AVERAGE(H20:H37)</f>
        <v>0.808657699747702</v>
      </c>
      <c r="I39" s="7">
        <f t="shared" si="7"/>
        <v>0.0638096136194816</v>
      </c>
      <c r="J39" s="2">
        <f t="shared" si="7"/>
        <v>-1.88229313385645</v>
      </c>
      <c r="K39" s="7">
        <f t="shared" si="7"/>
        <v>-1.03753008023757</v>
      </c>
      <c r="L39" s="1" t="s">
        <v>109</v>
      </c>
      <c r="M39" s="13">
        <f t="shared" ref="M39:Q39" si="8">AVERAGE(M20:M37)</f>
        <v>-0.444894025298729</v>
      </c>
      <c r="N39" s="7">
        <f t="shared" si="8"/>
        <v>0.50038966402915</v>
      </c>
      <c r="O39" s="2">
        <f t="shared" si="8"/>
        <v>0.0851894640012549</v>
      </c>
      <c r="P39" s="2">
        <f t="shared" si="8"/>
        <v>-1.02364195694255</v>
      </c>
      <c r="Q39" s="2">
        <f t="shared" si="8"/>
        <v>0.13708635429142</v>
      </c>
      <c r="S39" s="17" t="s">
        <v>30</v>
      </c>
      <c r="T39" s="14" t="s">
        <v>72</v>
      </c>
      <c r="U39" s="18" t="s">
        <v>14</v>
      </c>
      <c r="V39" s="18" t="s">
        <v>9</v>
      </c>
      <c r="W39" s="6">
        <v>-1.35512429562095</v>
      </c>
      <c r="X39" s="18" t="s">
        <v>10</v>
      </c>
      <c r="Y39" s="6">
        <v>1.86548249998603</v>
      </c>
      <c r="Z39" s="18" t="s">
        <v>11</v>
      </c>
      <c r="AA39" s="6">
        <v>-1.61273600926544</v>
      </c>
      <c r="AB39" s="1" t="s">
        <v>12</v>
      </c>
      <c r="AC39" s="6">
        <v>4.35756286450604</v>
      </c>
      <c r="AD39" s="1" t="s">
        <v>13</v>
      </c>
      <c r="AE39" s="6">
        <v>-3.19467961068035</v>
      </c>
    </row>
    <row r="40" s="1" customFormat="1" spans="1:31">
      <c r="A40" s="1" t="s">
        <v>107</v>
      </c>
      <c r="B40" s="1">
        <f t="shared" ref="B40:F40" si="9">MEDIAN(B20:B37)</f>
        <v>0.516824821879984</v>
      </c>
      <c r="C40" s="1">
        <f t="shared" si="9"/>
        <v>-1.61109514555732</v>
      </c>
      <c r="D40" s="1">
        <f t="shared" si="9"/>
        <v>-1.29339536404513</v>
      </c>
      <c r="E40" s="1">
        <f t="shared" si="9"/>
        <v>-0.851591273502238</v>
      </c>
      <c r="F40" s="1">
        <f t="shared" si="9"/>
        <v>0.633207706388575</v>
      </c>
      <c r="H40" s="1">
        <f t="shared" ref="H40:K40" si="10">MEDIAN(H20:H37)</f>
        <v>1.1425213574734</v>
      </c>
      <c r="I40" s="1">
        <f t="shared" si="10"/>
        <v>-1.23690637519326</v>
      </c>
      <c r="J40" s="1">
        <f t="shared" si="10"/>
        <v>-1.71989684619279</v>
      </c>
      <c r="K40" s="1">
        <f t="shared" si="10"/>
        <v>-1.3780174930248</v>
      </c>
      <c r="M40" s="1">
        <f t="shared" ref="M40:Q40" si="11">MEDIAN(M20:M37)</f>
        <v>0.136902716560482</v>
      </c>
      <c r="N40" s="1">
        <f t="shared" si="11"/>
        <v>0.645141657682465</v>
      </c>
      <c r="O40" s="1">
        <f t="shared" si="11"/>
        <v>0.069782655008581</v>
      </c>
      <c r="P40" s="1">
        <f t="shared" si="11"/>
        <v>-1.76370452521541</v>
      </c>
      <c r="Q40" s="1">
        <f t="shared" si="11"/>
        <v>0.509361765064594</v>
      </c>
      <c r="S40" s="17" t="s">
        <v>41</v>
      </c>
      <c r="T40" s="14" t="s">
        <v>72</v>
      </c>
      <c r="U40" s="18" t="s">
        <v>14</v>
      </c>
      <c r="V40" s="18" t="s">
        <v>9</v>
      </c>
      <c r="W40" s="6">
        <v>-2.19987673099148</v>
      </c>
      <c r="X40" s="18" t="s">
        <v>10</v>
      </c>
      <c r="Y40" s="6">
        <v>3.99757391220325</v>
      </c>
      <c r="Z40" s="18" t="s">
        <v>11</v>
      </c>
      <c r="AA40" s="6">
        <v>-4.61762876162213</v>
      </c>
      <c r="AB40" s="1" t="s">
        <v>12</v>
      </c>
      <c r="AC40" s="6">
        <v>1.9140967027198</v>
      </c>
      <c r="AD40" s="1" t="s">
        <v>13</v>
      </c>
      <c r="AE40" s="6">
        <v>2.35906134325949</v>
      </c>
    </row>
    <row r="41" s="1" customFormat="1" spans="8:31">
      <c r="H41" s="1">
        <v>44.4444444444444</v>
      </c>
      <c r="I41" s="1">
        <v>77.7777777777778</v>
      </c>
      <c r="J41" s="1">
        <v>66.6666666666667</v>
      </c>
      <c r="K41" s="1">
        <v>77.7777777777778</v>
      </c>
      <c r="M41" s="1">
        <v>83.3333333333333</v>
      </c>
      <c r="N41" s="1">
        <v>50</v>
      </c>
      <c r="O41" s="1">
        <v>55.5555555555556</v>
      </c>
      <c r="P41" s="1">
        <v>66.6666666666667</v>
      </c>
      <c r="Q41" s="1">
        <v>55.5555555555556</v>
      </c>
      <c r="S41" s="17" t="s">
        <v>27</v>
      </c>
      <c r="T41" s="14" t="s">
        <v>72</v>
      </c>
      <c r="U41" s="18" t="s">
        <v>14</v>
      </c>
      <c r="V41" s="18" t="s">
        <v>9</v>
      </c>
      <c r="W41" s="6">
        <v>-3.31289904547196</v>
      </c>
      <c r="X41" s="18" t="s">
        <v>10</v>
      </c>
      <c r="Y41" s="6">
        <v>-1.59780607011921</v>
      </c>
      <c r="Z41" s="18" t="s">
        <v>11</v>
      </c>
      <c r="AA41" s="6">
        <v>-6.02923392952883</v>
      </c>
      <c r="AB41" s="1" t="s">
        <v>12</v>
      </c>
      <c r="AC41" s="6">
        <v>-1.54187493476879</v>
      </c>
      <c r="AD41" s="1" t="s">
        <v>13</v>
      </c>
      <c r="AE41" s="6">
        <v>1.11260694891897</v>
      </c>
    </row>
    <row r="42" s="1" customFormat="1" spans="9:31">
      <c r="I42" s="1" t="s">
        <v>110</v>
      </c>
      <c r="M42" s="1" t="s">
        <v>110</v>
      </c>
      <c r="S42" s="17" t="s">
        <v>42</v>
      </c>
      <c r="T42" s="14" t="s">
        <v>72</v>
      </c>
      <c r="U42" s="18" t="s">
        <v>14</v>
      </c>
      <c r="V42" s="18" t="s">
        <v>9</v>
      </c>
      <c r="W42" s="6">
        <v>-4.34668709765231</v>
      </c>
      <c r="X42" s="18" t="s">
        <v>10</v>
      </c>
      <c r="Y42" s="6">
        <v>4.92494318398817</v>
      </c>
      <c r="Z42" s="18" t="s">
        <v>11</v>
      </c>
      <c r="AA42" s="6">
        <v>-1.61512471150727</v>
      </c>
      <c r="AB42" s="1" t="s">
        <v>12</v>
      </c>
      <c r="AC42" s="6">
        <v>-2.28835778626087</v>
      </c>
      <c r="AD42" s="1" t="s">
        <v>13</v>
      </c>
      <c r="AE42" s="6">
        <v>-4.55491214947689</v>
      </c>
    </row>
    <row r="43" s="1" customFormat="1" spans="10:31">
      <c r="J43" s="1" t="s">
        <v>111</v>
      </c>
      <c r="M43" s="1" t="s">
        <v>112</v>
      </c>
      <c r="S43" s="17" t="s">
        <v>31</v>
      </c>
      <c r="T43" s="14" t="s">
        <v>72</v>
      </c>
      <c r="U43" s="18" t="s">
        <v>14</v>
      </c>
      <c r="V43" s="18" t="s">
        <v>9</v>
      </c>
      <c r="W43" s="6">
        <v>-5.38995940669902</v>
      </c>
      <c r="X43" s="18" t="s">
        <v>10</v>
      </c>
      <c r="Y43" s="6">
        <v>0.398233230126398</v>
      </c>
      <c r="Z43" s="18" t="s">
        <v>11</v>
      </c>
      <c r="AA43" s="6">
        <v>6.57556603131666</v>
      </c>
      <c r="AB43" s="1" t="s">
        <v>12</v>
      </c>
      <c r="AC43" s="6">
        <v>-0.674915411493499</v>
      </c>
      <c r="AD43" s="1" t="s">
        <v>13</v>
      </c>
      <c r="AE43" s="6">
        <v>0.451433929650201</v>
      </c>
    </row>
    <row r="44" s="1" customFormat="1" spans="2:31">
      <c r="B44" s="3" t="s">
        <v>76</v>
      </c>
      <c r="C44" s="3" t="s">
        <v>78</v>
      </c>
      <c r="D44" s="4" t="s">
        <v>11</v>
      </c>
      <c r="E44" s="3" t="s">
        <v>12</v>
      </c>
      <c r="F44" s="5" t="s">
        <v>13</v>
      </c>
      <c r="H44" s="3" t="s">
        <v>76</v>
      </c>
      <c r="I44" s="3" t="s">
        <v>78</v>
      </c>
      <c r="J44" s="4" t="s">
        <v>11</v>
      </c>
      <c r="K44" s="3" t="s">
        <v>12</v>
      </c>
      <c r="L44" s="5" t="s">
        <v>87</v>
      </c>
      <c r="M44" s="3" t="s">
        <v>76</v>
      </c>
      <c r="N44" s="3" t="s">
        <v>78</v>
      </c>
      <c r="O44" s="4" t="s">
        <v>11</v>
      </c>
      <c r="P44" s="3" t="s">
        <v>12</v>
      </c>
      <c r="Q44" s="5" t="s">
        <v>13</v>
      </c>
      <c r="S44" s="17" t="s">
        <v>43</v>
      </c>
      <c r="T44" s="14" t="s">
        <v>72</v>
      </c>
      <c r="U44" s="18" t="s">
        <v>14</v>
      </c>
      <c r="V44" s="18" t="s">
        <v>9</v>
      </c>
      <c r="W44" s="6">
        <v>2</v>
      </c>
      <c r="X44" s="18" t="s">
        <v>10</v>
      </c>
      <c r="Y44" s="6">
        <v>11.4106285436217</v>
      </c>
      <c r="Z44" s="18" t="s">
        <v>11</v>
      </c>
      <c r="AA44" s="6">
        <v>9.69763272354087</v>
      </c>
      <c r="AB44" s="1" t="s">
        <v>12</v>
      </c>
      <c r="AC44" s="6">
        <v>-3.19313518605374</v>
      </c>
      <c r="AD44" s="1" t="s">
        <v>13</v>
      </c>
      <c r="AE44" s="6">
        <v>0.927352376428946</v>
      </c>
    </row>
    <row r="45" s="1" customFormat="1" spans="2:31">
      <c r="B45" s="6">
        <v>0.159756887569973</v>
      </c>
      <c r="C45" s="6">
        <v>1.72894749399083</v>
      </c>
      <c r="D45" s="6">
        <v>-0.00313159425881523</v>
      </c>
      <c r="E45" s="6">
        <v>-0.515441640591891</v>
      </c>
      <c r="F45" s="6">
        <v>0.538376912744379</v>
      </c>
      <c r="G45" s="1" t="s">
        <v>75</v>
      </c>
      <c r="H45" s="6">
        <v>-3.562801604964</v>
      </c>
      <c r="I45" s="6">
        <v>0.0462533871475453</v>
      </c>
      <c r="J45" s="6">
        <v>-0.782548783163969</v>
      </c>
      <c r="K45" s="6">
        <v>-2.92375660160158</v>
      </c>
      <c r="M45" s="6">
        <v>6.49698607368242</v>
      </c>
      <c r="N45" s="6">
        <v>4.68786556652356</v>
      </c>
      <c r="O45" s="6">
        <v>-5.89194760156157</v>
      </c>
      <c r="P45" s="6">
        <v>3.37100507881229</v>
      </c>
      <c r="Q45" s="6">
        <v>-4.32220393159508</v>
      </c>
      <c r="S45" s="17" t="s">
        <v>43</v>
      </c>
      <c r="T45" s="14" t="s">
        <v>72</v>
      </c>
      <c r="U45" s="18" t="s">
        <v>8</v>
      </c>
      <c r="V45" s="18" t="s">
        <v>9</v>
      </c>
      <c r="W45" s="6">
        <v>-3.23684765262649</v>
      </c>
      <c r="X45" s="18" t="s">
        <v>10</v>
      </c>
      <c r="Y45" s="6">
        <v>11.9226968230976</v>
      </c>
      <c r="Z45" s="18" t="s">
        <v>11</v>
      </c>
      <c r="AA45" s="6">
        <v>0.551731073391546</v>
      </c>
      <c r="AB45" s="1" t="s">
        <v>12</v>
      </c>
      <c r="AC45" s="6">
        <v>6.15291103987205</v>
      </c>
      <c r="AD45" s="1" t="s">
        <v>13</v>
      </c>
      <c r="AE45" s="6">
        <v>0.927352376428946</v>
      </c>
    </row>
    <row r="46" s="1" customFormat="1" spans="2:31">
      <c r="B46" s="6">
        <v>-8.04899665053421</v>
      </c>
      <c r="C46" s="6">
        <v>8.61666243585051</v>
      </c>
      <c r="D46" s="6">
        <v>4.66377997159713</v>
      </c>
      <c r="E46" s="6">
        <v>-3.10241819180706</v>
      </c>
      <c r="F46" s="6">
        <v>2.22105054244661</v>
      </c>
      <c r="H46" s="6">
        <v>-0.872470776273901</v>
      </c>
      <c r="I46" s="6">
        <v>2.58443252229747</v>
      </c>
      <c r="J46" s="6">
        <v>-0.0208506939324168</v>
      </c>
      <c r="K46" s="6">
        <v>-0.192776104458311</v>
      </c>
      <c r="M46" s="6">
        <v>-6.05731253573299</v>
      </c>
      <c r="N46" s="6">
        <v>6.09083312245037</v>
      </c>
      <c r="O46" s="6">
        <v>3.57224359573373</v>
      </c>
      <c r="P46" s="6">
        <v>-2.74903612752763</v>
      </c>
      <c r="Q46" s="6">
        <v>0.0674301046895495</v>
      </c>
      <c r="S46" s="17" t="s">
        <v>40</v>
      </c>
      <c r="T46" s="14" t="s">
        <v>72</v>
      </c>
      <c r="U46" s="18" t="s">
        <v>8</v>
      </c>
      <c r="V46" s="18" t="s">
        <v>9</v>
      </c>
      <c r="W46" s="6">
        <v>1.05562618588286</v>
      </c>
      <c r="X46" s="18" t="s">
        <v>10</v>
      </c>
      <c r="Y46" s="6">
        <v>11.8365625466759</v>
      </c>
      <c r="Z46" s="18" t="s">
        <v>11</v>
      </c>
      <c r="AA46" s="6">
        <v>-4.55424181220838</v>
      </c>
      <c r="AB46" s="1" t="s">
        <v>12</v>
      </c>
      <c r="AC46" s="6">
        <v>8.01753568113772</v>
      </c>
      <c r="AD46" s="1" t="s">
        <v>13</v>
      </c>
      <c r="AE46" s="6">
        <v>0.0846564881366436</v>
      </c>
    </row>
    <row r="47" s="1" customFormat="1" spans="2:31">
      <c r="B47" s="6">
        <v>4.83965156633775</v>
      </c>
      <c r="C47" s="6">
        <v>3.48361480731424</v>
      </c>
      <c r="D47" s="6">
        <v>-6.04086953183519</v>
      </c>
      <c r="E47" s="6">
        <v>-4.70057731575985</v>
      </c>
      <c r="F47" s="6">
        <v>-1.80543481085496</v>
      </c>
      <c r="H47" s="6">
        <v>6.52113952042947</v>
      </c>
      <c r="I47" s="6">
        <v>0.386922224687654</v>
      </c>
      <c r="J47" s="6">
        <v>-6.56824659809191</v>
      </c>
      <c r="K47" s="6">
        <v>1.57886471068571</v>
      </c>
      <c r="M47" s="6">
        <v>-0.233153334770561</v>
      </c>
      <c r="N47" s="6">
        <v>5.35811089022839</v>
      </c>
      <c r="O47" s="6">
        <v>0.197302847034171</v>
      </c>
      <c r="P47" s="6">
        <v>-5.45181435582886</v>
      </c>
      <c r="Q47" s="6">
        <v>-3.0171834943071</v>
      </c>
      <c r="S47" s="17" t="s">
        <v>30</v>
      </c>
      <c r="T47" s="14" t="s">
        <v>72</v>
      </c>
      <c r="U47" s="18" t="s">
        <v>8</v>
      </c>
      <c r="V47" s="18" t="s">
        <v>9</v>
      </c>
      <c r="W47" s="6">
        <v>3.22011024155084</v>
      </c>
      <c r="X47" s="18" t="s">
        <v>10</v>
      </c>
      <c r="Y47" s="6">
        <v>5.21088147178359</v>
      </c>
      <c r="Z47" s="18" t="s">
        <v>11</v>
      </c>
      <c r="AA47" s="6">
        <v>-4.41652313005898</v>
      </c>
      <c r="AB47" s="1" t="s">
        <v>12</v>
      </c>
      <c r="AC47" s="6">
        <v>-0.936969095809798</v>
      </c>
      <c r="AD47" s="1" t="s">
        <v>13</v>
      </c>
      <c r="AE47" s="6">
        <v>-3.19467961068035</v>
      </c>
    </row>
    <row r="48" s="1" customFormat="1" spans="2:31">
      <c r="B48" s="6">
        <v>-1.33639935392611</v>
      </c>
      <c r="C48" s="6">
        <v>6.70400156444366</v>
      </c>
      <c r="D48" s="6">
        <v>0.589557723549701</v>
      </c>
      <c r="E48" s="6">
        <v>-3.39475968103465</v>
      </c>
      <c r="F48" s="6">
        <v>3.95660582749887</v>
      </c>
      <c r="H48" s="6">
        <v>2.65606501154337</v>
      </c>
      <c r="I48" s="6">
        <v>-1.14914488562532</v>
      </c>
      <c r="J48" s="6">
        <v>-1.30254345595099</v>
      </c>
      <c r="K48" s="6">
        <v>1.68408611836479</v>
      </c>
      <c r="M48" s="6">
        <v>4.39855819481072</v>
      </c>
      <c r="N48" s="6">
        <v>3.41787545290007</v>
      </c>
      <c r="O48" s="6">
        <v>0.110985267859078</v>
      </c>
      <c r="P48" s="6">
        <v>-5.90842153086008</v>
      </c>
      <c r="Q48" s="6">
        <v>3.72087079311224</v>
      </c>
      <c r="S48" s="1" t="s">
        <v>73</v>
      </c>
      <c r="T48" s="14" t="s">
        <v>72</v>
      </c>
      <c r="U48" s="18" t="s">
        <v>8</v>
      </c>
      <c r="V48" s="18" t="s">
        <v>9</v>
      </c>
      <c r="W48" s="6">
        <v>1.64398921620798</v>
      </c>
      <c r="X48" s="18" t="s">
        <v>10</v>
      </c>
      <c r="Y48" s="6">
        <v>2.19781199267954</v>
      </c>
      <c r="Z48" s="18" t="s">
        <v>11</v>
      </c>
      <c r="AA48" s="6">
        <v>-2.16382993892177</v>
      </c>
      <c r="AB48" s="1" t="s">
        <v>12</v>
      </c>
      <c r="AC48" s="6">
        <v>0.562707513901283</v>
      </c>
      <c r="AD48" s="1" t="s">
        <v>13</v>
      </c>
      <c r="AE48" s="6">
        <v>0.261346802840069</v>
      </c>
    </row>
    <row r="49" s="1" customFormat="1" spans="2:31">
      <c r="B49" s="6">
        <v>-7.02402140784294</v>
      </c>
      <c r="C49" s="6">
        <v>11.1064693979673</v>
      </c>
      <c r="D49" s="6">
        <v>3.66618755076308</v>
      </c>
      <c r="E49" s="6">
        <v>-5.56071299881933</v>
      </c>
      <c r="F49" s="6">
        <v>4.05428179286817</v>
      </c>
      <c r="H49" s="6">
        <v>-3.20542787771082</v>
      </c>
      <c r="I49" s="6">
        <v>3.04571255368578</v>
      </c>
      <c r="J49" s="6">
        <v>2.15112899733272</v>
      </c>
      <c r="K49" s="6">
        <v>-1.26037852728833</v>
      </c>
      <c r="M49" s="6">
        <v>-6.07670216186637</v>
      </c>
      <c r="N49" s="6">
        <v>14.0063255646126</v>
      </c>
      <c r="O49" s="6">
        <v>0.263091360133812</v>
      </c>
      <c r="P49" s="6">
        <v>2.15606723510837</v>
      </c>
      <c r="Q49" s="6">
        <v>-1.28136479910382</v>
      </c>
      <c r="S49" s="17" t="s">
        <v>29</v>
      </c>
      <c r="T49" s="14" t="s">
        <v>72</v>
      </c>
      <c r="U49" s="18" t="s">
        <v>8</v>
      </c>
      <c r="V49" s="18" t="s">
        <v>9</v>
      </c>
      <c r="W49" s="6">
        <v>-0.883460330659727</v>
      </c>
      <c r="X49" s="18" t="s">
        <v>10</v>
      </c>
      <c r="Y49" s="8">
        <v>1.33182266617404</v>
      </c>
      <c r="Z49" s="18" t="s">
        <v>11</v>
      </c>
      <c r="AA49" s="6">
        <v>-3.70540681026414</v>
      </c>
      <c r="AB49" s="1" t="s">
        <v>12</v>
      </c>
      <c r="AC49" s="6">
        <v>-2.08244534871102</v>
      </c>
      <c r="AD49" s="1" t="s">
        <v>13</v>
      </c>
      <c r="AE49" s="6">
        <v>1.9680469814484</v>
      </c>
    </row>
    <row r="50" s="1" customFormat="1" spans="2:31">
      <c r="B50" s="6">
        <v>3.34156723858327</v>
      </c>
      <c r="C50" s="6">
        <v>6.17802336705824</v>
      </c>
      <c r="D50" s="6">
        <v>4.09650020621612</v>
      </c>
      <c r="E50" s="6">
        <v>-4.39772305983974</v>
      </c>
      <c r="F50" s="6">
        <v>5.42842288403066</v>
      </c>
      <c r="H50" s="6">
        <v>8.24823210607549</v>
      </c>
      <c r="I50" s="6">
        <v>-1.34378603763011</v>
      </c>
      <c r="J50" s="6">
        <v>0.740364504092792</v>
      </c>
      <c r="K50" s="6">
        <v>0.425453486986469</v>
      </c>
      <c r="M50" s="6">
        <v>0.702984479923643</v>
      </c>
      <c r="N50" s="6">
        <v>6.49700500698336</v>
      </c>
      <c r="O50" s="6">
        <v>3.44101125650408</v>
      </c>
      <c r="P50" s="6">
        <v>-6.71981377791461</v>
      </c>
      <c r="Q50" s="6">
        <v>5.21643313322267</v>
      </c>
      <c r="S50" s="17" t="s">
        <v>37</v>
      </c>
      <c r="T50" s="14" t="s">
        <v>72</v>
      </c>
      <c r="U50" s="18" t="s">
        <v>8</v>
      </c>
      <c r="V50" s="18" t="s">
        <v>9</v>
      </c>
      <c r="W50" s="6">
        <v>-3.17330799963331</v>
      </c>
      <c r="X50" s="18" t="s">
        <v>10</v>
      </c>
      <c r="Y50" s="8">
        <v>1.14199008421248</v>
      </c>
      <c r="Z50" s="18" t="s">
        <v>11</v>
      </c>
      <c r="AA50" s="6">
        <v>4.12082059178829</v>
      </c>
      <c r="AB50" s="1" t="s">
        <v>12</v>
      </c>
      <c r="AC50" s="6">
        <v>1.39017894713953</v>
      </c>
      <c r="AD50" s="1" t="s">
        <v>13</v>
      </c>
      <c r="AE50" s="6">
        <v>0.646216131312303</v>
      </c>
    </row>
    <row r="51" s="1" customFormat="1" spans="2:31">
      <c r="B51" s="6">
        <v>1.46018035712453</v>
      </c>
      <c r="C51" s="6">
        <v>4.11741082858532</v>
      </c>
      <c r="D51" s="6">
        <v>-1.47999360740642</v>
      </c>
      <c r="E51" s="6">
        <v>-2.76634465024049</v>
      </c>
      <c r="F51" s="6">
        <v>2.58543571860632</v>
      </c>
      <c r="H51" s="6">
        <v>3.87387717872157</v>
      </c>
      <c r="I51" s="6">
        <v>0.788354314158683</v>
      </c>
      <c r="J51" s="6">
        <v>-2.41130280231645</v>
      </c>
      <c r="K51" s="6">
        <v>0.390444351881089</v>
      </c>
      <c r="M51" s="6">
        <v>0.514521345048274</v>
      </c>
      <c r="N51" s="6">
        <v>3.45799377742475</v>
      </c>
      <c r="O51" s="6">
        <v>-0.444975561555177</v>
      </c>
      <c r="P51" s="6">
        <v>-3.61154802489079</v>
      </c>
      <c r="Q51" s="6">
        <v>1.99016800564348</v>
      </c>
      <c r="S51" s="17" t="s">
        <v>33</v>
      </c>
      <c r="T51" s="14" t="s">
        <v>72</v>
      </c>
      <c r="U51" s="18" t="s">
        <v>8</v>
      </c>
      <c r="V51" s="18" t="s">
        <v>9</v>
      </c>
      <c r="W51" s="6">
        <v>3.85722990454043</v>
      </c>
      <c r="X51" s="18" t="s">
        <v>10</v>
      </c>
      <c r="Y51" s="6">
        <v>0.713367089648983</v>
      </c>
      <c r="Z51" s="18" t="s">
        <v>11</v>
      </c>
      <c r="AA51" s="6">
        <v>-9.31134174274711</v>
      </c>
      <c r="AB51" s="1" t="s">
        <v>12</v>
      </c>
      <c r="AC51" s="6">
        <v>-1.90255303283082</v>
      </c>
      <c r="AD51" s="1" t="s">
        <v>13</v>
      </c>
      <c r="AE51" s="6">
        <v>0.724793784662572</v>
      </c>
    </row>
    <row r="52" s="1" customFormat="1" spans="2:31">
      <c r="B52" s="6">
        <v>1.76048786154206</v>
      </c>
      <c r="C52" s="6">
        <v>1.16601053191999</v>
      </c>
      <c r="D52" s="6">
        <v>0.771248108374845</v>
      </c>
      <c r="E52" s="6">
        <v>-1.16386070135273</v>
      </c>
      <c r="F52" s="6">
        <v>1.01714803222741</v>
      </c>
      <c r="H52" s="6">
        <v>1.03773596962553</v>
      </c>
      <c r="I52" s="6">
        <v>-0.380747265542745</v>
      </c>
      <c r="J52" s="6">
        <v>-0.397412875053572</v>
      </c>
      <c r="K52" s="6">
        <v>0.618008415183919</v>
      </c>
      <c r="M52" s="6">
        <v>0.413843690837931</v>
      </c>
      <c r="N52" s="6">
        <v>3.75152726718702</v>
      </c>
      <c r="O52" s="6">
        <v>1.17438004234044</v>
      </c>
      <c r="P52" s="6">
        <v>0.262254348177448</v>
      </c>
      <c r="Q52" s="6">
        <v>3.20501560396421</v>
      </c>
      <c r="S52" s="17" t="s">
        <v>31</v>
      </c>
      <c r="T52" s="14" t="s">
        <v>72</v>
      </c>
      <c r="U52" s="18" t="s">
        <v>8</v>
      </c>
      <c r="V52" s="18" t="s">
        <v>9</v>
      </c>
      <c r="W52" s="6">
        <v>-3.76287289467604</v>
      </c>
      <c r="X52" s="18" t="s">
        <v>10</v>
      </c>
      <c r="Y52" s="8">
        <v>0.558138959515863</v>
      </c>
      <c r="Z52" s="18" t="s">
        <v>11</v>
      </c>
      <c r="AA52" s="6">
        <v>0.858394289583531</v>
      </c>
      <c r="AB52" s="1" t="s">
        <v>12</v>
      </c>
      <c r="AC52" s="6">
        <v>0.82607302930651</v>
      </c>
      <c r="AD52" s="1" t="s">
        <v>13</v>
      </c>
      <c r="AE52" s="6">
        <v>0.451433929650201</v>
      </c>
    </row>
    <row r="53" s="1" customFormat="1" spans="2:31">
      <c r="B53" s="6">
        <v>1.52411319662176</v>
      </c>
      <c r="C53" s="6">
        <v>-2.8644558258397</v>
      </c>
      <c r="D53" s="6">
        <v>-2.87811615807066</v>
      </c>
      <c r="E53" s="6">
        <v>-2.64767452600903</v>
      </c>
      <c r="F53" s="6">
        <v>-0.878552853265744</v>
      </c>
      <c r="H53" s="6">
        <v>-0.785955208173577</v>
      </c>
      <c r="I53" s="6">
        <v>-1.22555443018114</v>
      </c>
      <c r="J53" s="6">
        <v>-2.9544923071906</v>
      </c>
      <c r="K53" s="6">
        <v>-1.59876366891143</v>
      </c>
      <c r="M53" s="6">
        <v>1.90943476265426</v>
      </c>
      <c r="N53" s="6">
        <v>-2.13078164371012</v>
      </c>
      <c r="O53" s="6">
        <v>-0.117236481026021</v>
      </c>
      <c r="P53" s="6">
        <v>-1.68977021483816</v>
      </c>
      <c r="Q53" s="6">
        <v>-0.55380601242878</v>
      </c>
      <c r="S53" s="17" t="s">
        <v>38</v>
      </c>
      <c r="T53" s="14" t="s">
        <v>72</v>
      </c>
      <c r="U53" s="18" t="s">
        <v>8</v>
      </c>
      <c r="V53" s="18" t="s">
        <v>9</v>
      </c>
      <c r="W53" s="6">
        <v>-2.38945092540435</v>
      </c>
      <c r="X53" s="18" t="s">
        <v>10</v>
      </c>
      <c r="Y53" s="6">
        <v>0.0865044052756685</v>
      </c>
      <c r="Z53" s="18" t="s">
        <v>11</v>
      </c>
      <c r="AA53" s="6">
        <v>3.86748490435132</v>
      </c>
      <c r="AB53" s="1" t="s">
        <v>12</v>
      </c>
      <c r="AC53" s="6">
        <v>0.845878478603275</v>
      </c>
      <c r="AD53" s="1" t="s">
        <v>13</v>
      </c>
      <c r="AE53" s="6">
        <v>0.567289600478986</v>
      </c>
    </row>
    <row r="54" s="1" customFormat="1" spans="2:31">
      <c r="B54" s="6">
        <v>1.91327910749452</v>
      </c>
      <c r="C54" s="6">
        <v>0.842942329148925</v>
      </c>
      <c r="D54" s="6">
        <v>0.834000187788026</v>
      </c>
      <c r="E54" s="6">
        <v>-1.49602253199789</v>
      </c>
      <c r="F54" s="6">
        <v>1.9584507004575</v>
      </c>
      <c r="H54" s="6">
        <v>1.13199174522543</v>
      </c>
      <c r="I54" s="6">
        <v>-0.382160129048976</v>
      </c>
      <c r="J54" s="6">
        <v>0.0505294064896497</v>
      </c>
      <c r="K54" s="6">
        <v>0.413747316667267</v>
      </c>
      <c r="M54" s="6">
        <v>0.684005664691838</v>
      </c>
      <c r="N54" s="6">
        <v>2.12676763387486</v>
      </c>
      <c r="O54" s="6">
        <v>0.924965853692101</v>
      </c>
      <c r="P54" s="6">
        <v>-1.08031796757786</v>
      </c>
      <c r="Q54" s="6">
        <v>3.51785431790679</v>
      </c>
      <c r="S54" s="17" t="s">
        <v>28</v>
      </c>
      <c r="T54" s="14" t="s">
        <v>72</v>
      </c>
      <c r="U54" s="18" t="s">
        <v>8</v>
      </c>
      <c r="V54" s="18" t="s">
        <v>9</v>
      </c>
      <c r="W54" s="6">
        <v>1.66300900764643</v>
      </c>
      <c r="X54" s="18" t="s">
        <v>10</v>
      </c>
      <c r="Y54" s="6">
        <v>-0.381661503285941</v>
      </c>
      <c r="Z54" s="18" t="s">
        <v>11</v>
      </c>
      <c r="AA54" s="6">
        <v>-4.35282045474974</v>
      </c>
      <c r="AB54" s="1" t="s">
        <v>12</v>
      </c>
      <c r="AC54" s="6">
        <v>-6.39603446908482</v>
      </c>
      <c r="AD54" s="1" t="s">
        <v>13</v>
      </c>
      <c r="AE54" s="6">
        <v>-0.452173764501153</v>
      </c>
    </row>
    <row r="55" s="1" customFormat="1" spans="2:31">
      <c r="B55" s="6">
        <v>1.17612618131161</v>
      </c>
      <c r="C55" s="6">
        <v>-2.02705666996171</v>
      </c>
      <c r="D55" s="6">
        <v>-1.08024580826037</v>
      </c>
      <c r="E55" s="6">
        <v>-1.29830104602876</v>
      </c>
      <c r="F55" s="6">
        <v>1.96311041844355</v>
      </c>
      <c r="H55" s="6">
        <v>-0.0239671021392647</v>
      </c>
      <c r="I55" s="6">
        <v>-3.19796295908365</v>
      </c>
      <c r="J55" s="6">
        <v>-1.9340395873383</v>
      </c>
      <c r="K55" s="6">
        <v>-0.259515635716779</v>
      </c>
      <c r="M55" s="6">
        <v>-0.264776730808495</v>
      </c>
      <c r="N55" s="6">
        <v>0.473198405807028</v>
      </c>
      <c r="O55" s="6">
        <v>2.33808802251052</v>
      </c>
      <c r="P55" s="6">
        <v>1.68543530963243</v>
      </c>
      <c r="Q55" s="6">
        <v>1.2635483164823</v>
      </c>
      <c r="S55" s="17" t="s">
        <v>39</v>
      </c>
      <c r="T55" s="14" t="s">
        <v>72</v>
      </c>
      <c r="U55" s="18" t="s">
        <v>8</v>
      </c>
      <c r="V55" s="18" t="s">
        <v>9</v>
      </c>
      <c r="W55" s="6">
        <v>1.22941652906395</v>
      </c>
      <c r="X55" s="18" t="s">
        <v>10</v>
      </c>
      <c r="Y55" s="6">
        <v>-1.33741409778011</v>
      </c>
      <c r="Z55" s="18" t="s">
        <v>11</v>
      </c>
      <c r="AA55" s="6">
        <v>-0.615156590563836</v>
      </c>
      <c r="AB55" s="1" t="s">
        <v>12</v>
      </c>
      <c r="AC55" s="6">
        <v>-3.73019959007316</v>
      </c>
      <c r="AD55" s="1" t="s">
        <v>13</v>
      </c>
      <c r="AE55" s="6">
        <v>0.290256451761588</v>
      </c>
    </row>
    <row r="56" s="1" customFormat="1" spans="2:31">
      <c r="B56" s="6">
        <v>5.1979788028565</v>
      </c>
      <c r="C56" s="6">
        <v>-2.27918139135216</v>
      </c>
      <c r="D56" s="6">
        <v>2.7460479662608</v>
      </c>
      <c r="E56" s="6">
        <v>1.14689182781186</v>
      </c>
      <c r="F56" s="6">
        <v>-0.465336782072203</v>
      </c>
      <c r="H56" s="6">
        <v>6.12400499731753</v>
      </c>
      <c r="I56" s="6">
        <v>2.88722027671029</v>
      </c>
      <c r="J56" s="6">
        <v>1.22356386982711</v>
      </c>
      <c r="K56" s="6">
        <v>0.400068539642461</v>
      </c>
      <c r="M56" s="6">
        <v>3.7046602773945</v>
      </c>
      <c r="N56" s="6">
        <v>-8.81930878563893</v>
      </c>
      <c r="O56" s="6">
        <v>0.921380340299829</v>
      </c>
      <c r="P56" s="6">
        <v>-2.36521098538081</v>
      </c>
      <c r="Q56" s="6">
        <v>-3.49882208693658</v>
      </c>
      <c r="S56" s="17" t="s">
        <v>41</v>
      </c>
      <c r="T56" s="14" t="s">
        <v>72</v>
      </c>
      <c r="U56" s="18" t="s">
        <v>8</v>
      </c>
      <c r="V56" s="18" t="s">
        <v>9</v>
      </c>
      <c r="W56" s="6">
        <v>1.92949640872087</v>
      </c>
      <c r="X56" s="18" t="s">
        <v>10</v>
      </c>
      <c r="Y56" s="6">
        <v>-1.71000050509268</v>
      </c>
      <c r="Z56" s="18" t="s">
        <v>11</v>
      </c>
      <c r="AA56" s="6">
        <v>-0.505802716445102</v>
      </c>
      <c r="AB56" s="1" t="s">
        <v>12</v>
      </c>
      <c r="AC56" s="6">
        <v>-6.78692336016058</v>
      </c>
      <c r="AD56" s="1" t="s">
        <v>13</v>
      </c>
      <c r="AE56" s="6">
        <v>2.35906134325949</v>
      </c>
    </row>
    <row r="57" s="1" customFormat="1" spans="2:31">
      <c r="B57" s="6">
        <v>1.7871583659148</v>
      </c>
      <c r="C57" s="6">
        <v>0.153315412049908</v>
      </c>
      <c r="D57" s="6">
        <v>1.8189565055242</v>
      </c>
      <c r="E57" s="6">
        <v>-1.59504649169745</v>
      </c>
      <c r="F57" s="6">
        <v>1.00458076203726</v>
      </c>
      <c r="H57" s="6">
        <v>1.13753302154801</v>
      </c>
      <c r="I57" s="6">
        <v>-0.368818565156081</v>
      </c>
      <c r="J57" s="6">
        <v>-1.3911643761176</v>
      </c>
      <c r="K57" s="6">
        <v>-1.19326556467027</v>
      </c>
      <c r="M57" s="6">
        <v>-0.260506709447932</v>
      </c>
      <c r="N57" s="6">
        <v>2.58172149785259</v>
      </c>
      <c r="O57" s="6">
        <v>2.36055888430878</v>
      </c>
      <c r="P57" s="6">
        <v>0.788999300539754</v>
      </c>
      <c r="Q57" s="6">
        <v>2.64674029240485</v>
      </c>
      <c r="S57" s="17" t="s">
        <v>34</v>
      </c>
      <c r="T57" s="14" t="s">
        <v>72</v>
      </c>
      <c r="U57" s="18" t="s">
        <v>8</v>
      </c>
      <c r="V57" s="18" t="s">
        <v>9</v>
      </c>
      <c r="W57" s="6">
        <v>0.562240229599822</v>
      </c>
      <c r="X57" s="18" t="s">
        <v>10</v>
      </c>
      <c r="Y57" s="6">
        <v>-2.00289436570512</v>
      </c>
      <c r="Z57" s="18" t="s">
        <v>11</v>
      </c>
      <c r="AA57" s="6">
        <v>-4.85311273906461</v>
      </c>
      <c r="AB57" s="1" t="s">
        <v>12</v>
      </c>
      <c r="AC57" s="6">
        <v>-1.17585603284611</v>
      </c>
      <c r="AD57" s="1" t="s">
        <v>13</v>
      </c>
      <c r="AE57" s="6">
        <v>-1.60135787544475</v>
      </c>
    </row>
    <row r="58" s="1" customFormat="1" spans="2:31">
      <c r="B58" s="6">
        <v>1.81747320485036</v>
      </c>
      <c r="C58" s="6">
        <v>0.74103374886274</v>
      </c>
      <c r="D58" s="6">
        <v>1.21224129287395</v>
      </c>
      <c r="E58" s="6">
        <v>-1.42009531522886</v>
      </c>
      <c r="F58" s="6">
        <v>0.209283161267125</v>
      </c>
      <c r="H58" s="6">
        <v>1.80838209878691</v>
      </c>
      <c r="I58" s="6">
        <v>0.660670500269178</v>
      </c>
      <c r="J58" s="6">
        <v>-0.438619623716707</v>
      </c>
      <c r="K58" s="6">
        <v>-1.66423225959213</v>
      </c>
      <c r="M58" s="6">
        <v>0.274816801604527</v>
      </c>
      <c r="N58" s="6">
        <v>0.549382287212861</v>
      </c>
      <c r="O58" s="6">
        <v>-0.0762156939476634</v>
      </c>
      <c r="P58" s="6">
        <v>0.114801868486307</v>
      </c>
      <c r="Q58" s="6">
        <v>-0.0909227060889245</v>
      </c>
      <c r="S58" s="17" t="s">
        <v>32</v>
      </c>
      <c r="T58" s="14" t="s">
        <v>72</v>
      </c>
      <c r="U58" s="18" t="s">
        <v>8</v>
      </c>
      <c r="V58" s="18" t="s">
        <v>9</v>
      </c>
      <c r="W58" s="6">
        <v>-1.78902085215105</v>
      </c>
      <c r="X58" s="18" t="s">
        <v>10</v>
      </c>
      <c r="Y58" s="6">
        <v>-2.03627043193959</v>
      </c>
      <c r="Z58" s="18" t="s">
        <v>11</v>
      </c>
      <c r="AA58" s="6">
        <v>1.28477523913323</v>
      </c>
      <c r="AB58" s="1" t="s">
        <v>12</v>
      </c>
      <c r="AC58" s="6">
        <v>0.612045851433486</v>
      </c>
      <c r="AD58" s="1" t="s">
        <v>13</v>
      </c>
      <c r="AE58" s="6">
        <v>1.80715624143457</v>
      </c>
    </row>
    <row r="59" s="1" customFormat="1" spans="2:31">
      <c r="B59" s="6">
        <v>1.25243868670072</v>
      </c>
      <c r="C59" s="6">
        <v>7.45390455181603</v>
      </c>
      <c r="D59" s="6">
        <v>3.57481486072799</v>
      </c>
      <c r="E59" s="6">
        <v>1.15960209014178</v>
      </c>
      <c r="F59" s="6">
        <v>0.256864675955306</v>
      </c>
      <c r="H59" s="6">
        <v>3.64283558147233</v>
      </c>
      <c r="I59" s="6">
        <v>4.64220261859364</v>
      </c>
      <c r="J59" s="6">
        <v>-5.05244917393705</v>
      </c>
      <c r="K59" s="6">
        <v>3.32763584165008</v>
      </c>
      <c r="M59" s="6">
        <v>-0.571305589033482</v>
      </c>
      <c r="N59" s="6">
        <v>3.56049386204972</v>
      </c>
      <c r="O59" s="6">
        <v>6.83235092671669</v>
      </c>
      <c r="P59" s="6">
        <v>-3.3720980195605</v>
      </c>
      <c r="Q59" s="6">
        <v>-1.24249114699296</v>
      </c>
      <c r="S59" s="17" t="s">
        <v>44</v>
      </c>
      <c r="T59" s="14" t="s">
        <v>72</v>
      </c>
      <c r="U59" s="18" t="s">
        <v>8</v>
      </c>
      <c r="V59" s="18" t="s">
        <v>9</v>
      </c>
      <c r="W59" s="6">
        <v>0.853917529185095</v>
      </c>
      <c r="X59" s="18" t="s">
        <v>10</v>
      </c>
      <c r="Y59" s="6">
        <v>-2.40398944682911</v>
      </c>
      <c r="Z59" s="18" t="s">
        <v>11</v>
      </c>
      <c r="AA59" s="6">
        <v>-1.27596375346381</v>
      </c>
      <c r="AB59" s="1" t="s">
        <v>12</v>
      </c>
      <c r="AC59" s="6">
        <v>-4.43387121952986</v>
      </c>
      <c r="AD59" s="1" t="s">
        <v>13</v>
      </c>
      <c r="AE59" s="6">
        <v>1.84318134806256</v>
      </c>
    </row>
    <row r="60" s="1" customFormat="1" spans="2:31">
      <c r="B60" s="6">
        <v>-0.398239509682714</v>
      </c>
      <c r="C60" s="6">
        <v>1.20791830504321</v>
      </c>
      <c r="D60" s="6">
        <v>-1.04698822539973</v>
      </c>
      <c r="E60" s="6">
        <v>0.0492233584761842</v>
      </c>
      <c r="F60" s="6">
        <v>0.564409342194073</v>
      </c>
      <c r="H60" s="6">
        <v>-0.255009150843217</v>
      </c>
      <c r="I60" s="6">
        <v>1.40812137470495</v>
      </c>
      <c r="J60" s="6">
        <v>-2.44411616216412</v>
      </c>
      <c r="K60" s="6">
        <v>-0.0693555800595004</v>
      </c>
      <c r="M60" s="6">
        <v>-0.724757779867527</v>
      </c>
      <c r="N60" s="6">
        <v>0.484720586505198</v>
      </c>
      <c r="O60" s="6">
        <v>0.479519110431536</v>
      </c>
      <c r="P60" s="6">
        <v>-0.907973060089378</v>
      </c>
      <c r="Q60" s="6">
        <v>0.61771916085099</v>
      </c>
      <c r="S60" s="17" t="s">
        <v>35</v>
      </c>
      <c r="T60" s="14" t="s">
        <v>72</v>
      </c>
      <c r="U60" s="18" t="s">
        <v>8</v>
      </c>
      <c r="V60" s="18" t="s">
        <v>9</v>
      </c>
      <c r="W60" s="6">
        <v>1.62364120161206</v>
      </c>
      <c r="X60" s="18" t="s">
        <v>10</v>
      </c>
      <c r="Y60" s="6">
        <v>-2.40688983482632</v>
      </c>
      <c r="Z60" s="18" t="s">
        <v>11</v>
      </c>
      <c r="AA60" s="6">
        <v>-2.49689487809633</v>
      </c>
      <c r="AB60" s="1" t="s">
        <v>12</v>
      </c>
      <c r="AC60" s="6">
        <v>-2.11966354069644</v>
      </c>
      <c r="AD60" s="1" t="s">
        <v>13</v>
      </c>
      <c r="AE60" s="6">
        <v>-0.772720651046604</v>
      </c>
    </row>
    <row r="61" s="1" customFormat="1" spans="2:31">
      <c r="B61" s="6">
        <v>1.58332647326286</v>
      </c>
      <c r="C61" s="6">
        <v>7.41928399846673</v>
      </c>
      <c r="D61" s="6">
        <v>5.58594560346805</v>
      </c>
      <c r="E61" s="6">
        <v>1.19716408632135</v>
      </c>
      <c r="F61" s="6">
        <v>1.14521872853017</v>
      </c>
      <c r="H61" s="6">
        <v>7.07729656229588</v>
      </c>
      <c r="I61" s="6">
        <v>2.41687069664356</v>
      </c>
      <c r="J61" s="6">
        <v>-3.49844076444419</v>
      </c>
      <c r="K61" s="6">
        <v>3.50474201207667</v>
      </c>
      <c r="M61" s="6">
        <v>-0.63443844074858</v>
      </c>
      <c r="N61" s="6">
        <v>3.09880990966233</v>
      </c>
      <c r="O61" s="6">
        <v>6.89100921668693</v>
      </c>
      <c r="P61" s="6">
        <v>-3.94127860135467</v>
      </c>
      <c r="Q61" s="6">
        <v>5.08305073236005</v>
      </c>
      <c r="S61" s="17" t="s">
        <v>42</v>
      </c>
      <c r="T61" s="14" t="s">
        <v>72</v>
      </c>
      <c r="U61" s="18" t="s">
        <v>8</v>
      </c>
      <c r="V61" s="18" t="s">
        <v>9</v>
      </c>
      <c r="W61" s="6">
        <v>6.10015686844391</v>
      </c>
      <c r="X61" s="18" t="s">
        <v>10</v>
      </c>
      <c r="Y61" s="6">
        <v>-6.08154303626314</v>
      </c>
      <c r="Z61" s="18" t="s">
        <v>11</v>
      </c>
      <c r="AA61" s="6">
        <v>-5.43144180584394</v>
      </c>
      <c r="AB61" s="1" t="s">
        <v>12</v>
      </c>
      <c r="AC61" s="6">
        <v>-1.58017895320349</v>
      </c>
      <c r="AD61" s="1" t="s">
        <v>13</v>
      </c>
      <c r="AE61" s="6">
        <v>-4.55491214947689</v>
      </c>
    </row>
    <row r="62" s="1" customFormat="1" spans="2:31">
      <c r="B62" s="6">
        <v>-0.210813836995303</v>
      </c>
      <c r="C62" s="6">
        <v>1.94957992692806</v>
      </c>
      <c r="D62" s="6">
        <v>0.933295326264838</v>
      </c>
      <c r="E62" s="6">
        <v>-1.83194397455839</v>
      </c>
      <c r="F62" s="6">
        <v>1.23151564044172</v>
      </c>
      <c r="H62" s="6">
        <v>1.54607818588942</v>
      </c>
      <c r="I62" s="6">
        <v>0.613332723416232</v>
      </c>
      <c r="J62" s="6">
        <v>-2.77848110744687</v>
      </c>
      <c r="K62" s="6">
        <v>-0.172704911949996</v>
      </c>
      <c r="M62" s="6">
        <v>-1.07132287428822</v>
      </c>
      <c r="N62" s="6">
        <v>0.902766382939623</v>
      </c>
      <c r="O62" s="6">
        <v>1.88708187077406</v>
      </c>
      <c r="P62" s="6">
        <v>-3.22934639845894</v>
      </c>
      <c r="Q62" s="6">
        <v>2.59055004334905</v>
      </c>
      <c r="S62" s="17" t="s">
        <v>27</v>
      </c>
      <c r="T62" s="14" t="s">
        <v>72</v>
      </c>
      <c r="U62" s="18" t="s">
        <v>8</v>
      </c>
      <c r="V62" s="18" t="s">
        <v>9</v>
      </c>
      <c r="W62" s="6">
        <v>6.05196592815536</v>
      </c>
      <c r="X62" s="18" t="s">
        <v>10</v>
      </c>
      <c r="Y62" s="6">
        <v>-9.42663635238622</v>
      </c>
      <c r="Z62" s="18" t="s">
        <v>11</v>
      </c>
      <c r="AA62" s="6">
        <v>-0.881946135236304</v>
      </c>
      <c r="AB62" s="1" t="s">
        <v>12</v>
      </c>
      <c r="AC62" s="6">
        <v>-5.93817734272403</v>
      </c>
      <c r="AD62" s="1" t="s">
        <v>13</v>
      </c>
      <c r="AE62" s="6">
        <v>1.11260694891897</v>
      </c>
    </row>
    <row r="63" s="1" customFormat="1" spans="2:17">
      <c r="B63" s="6">
        <v>2.17001946642495</v>
      </c>
      <c r="C63" s="6">
        <v>6.72646307697029</v>
      </c>
      <c r="D63" s="6">
        <v>3.72276206587849</v>
      </c>
      <c r="E63" s="6">
        <v>1.83440123535215</v>
      </c>
      <c r="F63" s="6">
        <v>-0.918122490523335</v>
      </c>
      <c r="H63" s="6">
        <v>4.1635749974733</v>
      </c>
      <c r="I63" s="6">
        <v>1.41348465298829</v>
      </c>
      <c r="J63" s="6">
        <v>-1.1985557340018</v>
      </c>
      <c r="K63" s="6">
        <v>2.04111806685834</v>
      </c>
      <c r="M63" s="6">
        <v>1.09388906670294</v>
      </c>
      <c r="N63" s="6">
        <v>6.29166455125851</v>
      </c>
      <c r="O63" s="6">
        <v>4.88048916213473</v>
      </c>
      <c r="P63" s="6">
        <v>1.30746941303533</v>
      </c>
      <c r="Q63" s="6">
        <v>0.840968157657591</v>
      </c>
    </row>
    <row r="64" s="2" customFormat="1"/>
    <row r="65" s="1" customFormat="1" spans="1:17">
      <c r="A65" s="1" t="s">
        <v>106</v>
      </c>
      <c r="B65" s="1">
        <f t="shared" ref="B65:F65" si="12">AVERAGE(B45:B63)</f>
        <v>0.682372980927073</v>
      </c>
      <c r="C65" s="9">
        <f t="shared" si="12"/>
        <v>3.28552041522434</v>
      </c>
      <c r="D65" s="7">
        <f t="shared" si="12"/>
        <v>1.14136802337137</v>
      </c>
      <c r="E65" s="1">
        <f t="shared" si="12"/>
        <v>-1.60545471194015</v>
      </c>
      <c r="F65" s="1">
        <f t="shared" si="12"/>
        <v>1.26670043173857</v>
      </c>
      <c r="H65" s="7">
        <f t="shared" ref="H65:K65" si="13">AVERAGE(H45:H63)</f>
        <v>2.11911132927892</v>
      </c>
      <c r="I65" s="1">
        <f t="shared" si="13"/>
        <v>0.676073872265013</v>
      </c>
      <c r="J65" s="1">
        <f t="shared" si="13"/>
        <v>-1.52671985616444</v>
      </c>
      <c r="K65" s="1">
        <f t="shared" si="13"/>
        <v>0.265758947670972</v>
      </c>
      <c r="M65" s="1">
        <f t="shared" ref="M65:Q65" si="14">AVERAGE(M45:M63)</f>
        <v>0.226285484251942</v>
      </c>
      <c r="N65" s="7">
        <f t="shared" si="14"/>
        <v>2.9677353334802</v>
      </c>
      <c r="O65" s="7">
        <f t="shared" si="14"/>
        <v>1.56547802205632</v>
      </c>
      <c r="P65" s="1">
        <f t="shared" si="14"/>
        <v>-1.64950507949949</v>
      </c>
      <c r="Q65" s="1">
        <f t="shared" si="14"/>
        <v>0.881766025483712</v>
      </c>
    </row>
    <row r="66" s="1" customFormat="1" spans="2:17">
      <c r="B66" s="1">
        <f t="shared" ref="B66:F66" si="15">MEDIAN(B45:B63)</f>
        <v>1.52411319662176</v>
      </c>
      <c r="C66" s="1">
        <f t="shared" si="15"/>
        <v>1.94957992692806</v>
      </c>
      <c r="D66" s="1">
        <f t="shared" si="15"/>
        <v>0.933295326264838</v>
      </c>
      <c r="E66" s="1">
        <f t="shared" si="15"/>
        <v>-1.49602253199789</v>
      </c>
      <c r="F66" s="1">
        <f t="shared" si="15"/>
        <v>1.01714803222741</v>
      </c>
      <c r="H66" s="1">
        <f t="shared" ref="H66:K66" si="16">MEDIAN(H45:H63)</f>
        <v>1.54607818588942</v>
      </c>
      <c r="I66" s="1">
        <f t="shared" si="16"/>
        <v>0.613332723416232</v>
      </c>
      <c r="J66" s="1">
        <f t="shared" si="16"/>
        <v>-1.30254345595099</v>
      </c>
      <c r="K66" s="1">
        <f t="shared" si="16"/>
        <v>0.390444351881089</v>
      </c>
      <c r="M66" s="1">
        <f t="shared" ref="M66:Q66" si="17">MEDIAN(M45:M63)</f>
        <v>0.274816801604527</v>
      </c>
      <c r="N66" s="1">
        <f t="shared" si="17"/>
        <v>3.41787545290007</v>
      </c>
      <c r="O66" s="1">
        <f t="shared" si="17"/>
        <v>0.924965853692101</v>
      </c>
      <c r="P66" s="1">
        <f t="shared" si="17"/>
        <v>-1.68977021483816</v>
      </c>
      <c r="Q66" s="1">
        <f t="shared" si="17"/>
        <v>0.840968157657591</v>
      </c>
    </row>
    <row r="67" s="1" customFormat="1" spans="8:17">
      <c r="H67" s="1">
        <v>73.6842105263158</v>
      </c>
      <c r="I67" s="1">
        <v>36.8421052631579</v>
      </c>
      <c r="J67" s="1">
        <v>47.3684210526316</v>
      </c>
      <c r="K67" s="1">
        <v>42.1052631578947</v>
      </c>
      <c r="M67" s="1">
        <v>63.1578947368421</v>
      </c>
      <c r="N67" s="1">
        <v>94.7368421052632</v>
      </c>
      <c r="O67" s="1">
        <v>73.6842105263158</v>
      </c>
      <c r="P67" s="1">
        <v>68.4210526315789</v>
      </c>
      <c r="Q67" s="1">
        <v>47.3684210526316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反归一化</vt:lpstr>
      <vt:lpstr>计算贡献</vt:lpstr>
      <vt:lpstr>相对贡献</vt:lpstr>
      <vt:lpstr>结果汇总</vt:lpstr>
      <vt:lpstr>MC</vt:lpstr>
      <vt:lpstr>MC统计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田明震</cp:lastModifiedBy>
  <dcterms:created xsi:type="dcterms:W3CDTF">2023-05-12T11:15:00Z</dcterms:created>
  <dcterms:modified xsi:type="dcterms:W3CDTF">2025-10-12T06:41:35Z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F9F33F9FDABC4798867B5804CBC70684_12</vt:lpwstr>
  </property>
</Properties>
</file>