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<sst xmlns="http://schemas.openxmlformats.org/spreadsheetml/2006/main" count="762" uniqueCount="97">
  <si>
    <t>植被类型</t>
  </si>
  <si>
    <t>偏相关</t>
  </si>
  <si>
    <t>0-40</t>
  </si>
  <si>
    <t>Pre</t>
  </si>
  <si>
    <t>Tmean</t>
  </si>
  <si>
    <t>SSD</t>
  </si>
  <si>
    <t>整个生长季</t>
  </si>
  <si>
    <t>草原</t>
  </si>
  <si>
    <t>TMEAN</t>
  </si>
  <si>
    <t>Tmax</t>
  </si>
  <si>
    <t>Tmin</t>
  </si>
  <si>
    <t>es</t>
  </si>
  <si>
    <t>冰草</t>
  </si>
  <si>
    <t>ls</t>
  </si>
  <si>
    <t>Grass</t>
  </si>
  <si>
    <t>ws</t>
  </si>
  <si>
    <t>冰草gud</t>
  </si>
  <si>
    <t>矮嵩草</t>
  </si>
  <si>
    <t>Sedge</t>
  </si>
  <si>
    <t>矮嵩草gud</t>
  </si>
  <si>
    <t>车前</t>
  </si>
  <si>
    <t>Forb</t>
  </si>
  <si>
    <t>车前gud</t>
  </si>
  <si>
    <t>factors</t>
  </si>
  <si>
    <t>Positive(p≥0.05)</t>
  </si>
  <si>
    <t>Positive(p&lt;0.05)</t>
  </si>
  <si>
    <t>Negative(p≥0.05)</t>
  </si>
  <si>
    <t>Negative(p&lt;0.05)</t>
  </si>
  <si>
    <t>冷地早熟禾</t>
  </si>
  <si>
    <t>冷地早熟禾gud</t>
  </si>
  <si>
    <t>GWC</t>
  </si>
  <si>
    <t>马蔺</t>
  </si>
  <si>
    <t>马蔺gud</t>
  </si>
  <si>
    <t>PRE</t>
  </si>
  <si>
    <t>蒲公英</t>
  </si>
  <si>
    <t>蒲公英gud</t>
  </si>
  <si>
    <t>洽草</t>
  </si>
  <si>
    <t>洽草gud</t>
  </si>
  <si>
    <t>西北针茅</t>
  </si>
  <si>
    <t>西北针茅gud</t>
  </si>
  <si>
    <t>GUD</t>
  </si>
  <si>
    <t>斜茎黄芪</t>
  </si>
  <si>
    <r>
      <rPr>
        <sz val="10.5"/>
        <color theme="1"/>
        <rFont val="Times New Roman"/>
        <charset val="134"/>
      </rPr>
      <t>F</t>
    </r>
    <r>
      <rPr>
        <sz val="10.5"/>
        <color theme="1"/>
        <rFont val="Times New Roman"/>
        <charset val="134"/>
      </rPr>
      <t>orb</t>
    </r>
  </si>
  <si>
    <t>斜茎黄芪gud</t>
  </si>
  <si>
    <t>猪毛蒿</t>
  </si>
  <si>
    <t>猪毛蒿gud</t>
  </si>
  <si>
    <t>赖草</t>
  </si>
  <si>
    <t>赖草gud</t>
  </si>
  <si>
    <t>正</t>
  </si>
  <si>
    <t>负</t>
  </si>
  <si>
    <t>草甸</t>
  </si>
  <si>
    <t>芦苇</t>
  </si>
  <si>
    <t>芦苇gud</t>
  </si>
  <si>
    <t>高山嵩草</t>
  </si>
  <si>
    <t>高山嵩草gud</t>
  </si>
  <si>
    <t>高山早熟禾</t>
  </si>
  <si>
    <t>高山早熟禾gud</t>
  </si>
  <si>
    <t>苔草</t>
  </si>
  <si>
    <t>苔草gud</t>
  </si>
  <si>
    <t>羊茅</t>
  </si>
  <si>
    <t>羊茅gud</t>
  </si>
  <si>
    <t>垂穗披碱草</t>
  </si>
  <si>
    <t>垂穗披碱草gud</t>
  </si>
  <si>
    <t>高山龙胆</t>
  </si>
  <si>
    <t>高山龙胆gud</t>
  </si>
  <si>
    <t>二柱头蔗草</t>
  </si>
  <si>
    <t>二柱头蔗草gud</t>
  </si>
  <si>
    <t>星星草</t>
  </si>
  <si>
    <t>星星草gud</t>
  </si>
  <si>
    <t>栽培</t>
  </si>
  <si>
    <t>油菜</t>
  </si>
  <si>
    <t>油菜gud</t>
  </si>
  <si>
    <t>小麦</t>
  </si>
  <si>
    <t>小麦gud</t>
  </si>
  <si>
    <t>苜蓿</t>
  </si>
  <si>
    <t>苜蓿gud</t>
  </si>
  <si>
    <t>整体全期</t>
  </si>
  <si>
    <t>偏相关所有变量放一起 全部控制</t>
  </si>
  <si>
    <t>推迟作用</t>
  </si>
  <si>
    <t>提前</t>
  </si>
  <si>
    <t>推迟</t>
  </si>
  <si>
    <t>提前作用</t>
  </si>
  <si>
    <t>前期GWC增</t>
  </si>
  <si>
    <t>增</t>
  </si>
  <si>
    <t>温度升高，负作用</t>
  </si>
  <si>
    <t>SSD降低，负作用</t>
  </si>
  <si>
    <t>后期GWC降低</t>
  </si>
  <si>
    <t>全</t>
  </si>
  <si>
    <t>GWCES</t>
  </si>
  <si>
    <t>GWCLS</t>
  </si>
  <si>
    <t>PREES</t>
  </si>
  <si>
    <t>整体前后期</t>
  </si>
  <si>
    <t>PRELS</t>
  </si>
  <si>
    <t>TmeanES</t>
  </si>
  <si>
    <t>TmeanLS</t>
  </si>
  <si>
    <t>SSDES</t>
  </si>
  <si>
    <t>SSDLS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</si>
</sst>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4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3" fillId="0" borderId="0" xfId="0" applyFont="1" applyAlignment="1">
      <alignment horizontal="justify" vertical="center"/>
    </xf>
    <xf numFmtId="0" fontId="0" fillId="0" borderId="0" xfId="0" applyNumberFormat="1" applyFont="1" applyFill="1" applyAlignment="1"/>
    <xf numFmtId="0" fontId="0" fillId="3" borderId="0" xfId="0" applyFill="1">
      <alignment vertical="center"/>
    </xf>
    <xf numFmtId="0" fontId="0" fillId="0" borderId="0" xfId="0" applyFill="1" applyAlignment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18"/>
  <sheetViews>
    <sheetView tabSelected="1" zoomScale="25" zoomScaleNormal="25" workbookViewId="0">
      <selection activeCell="V60" sqref="V60"/>
    </sheetView>
  </sheetViews>
  <sheetFormatPr defaultColWidth="9" defaultRowHeight="14"/>
  <cols>
    <col min="1" max="1" width="9" style="2"/>
    <col min="2" max="8" width="9" style="1"/>
    <col min="9" max="9" width="12.8181818181818" style="1"/>
    <col min="10" max="10" width="9" style="1"/>
    <col min="11" max="11" width="14" style="1"/>
    <col min="12" max="12" width="12.8181818181818" style="1"/>
    <col min="13" max="13" width="9" style="1"/>
    <col min="14" max="15" width="12.8181818181818" style="1"/>
    <col min="16" max="19" width="9" style="1"/>
    <col min="20" max="20" width="14" style="1"/>
    <col min="21" max="21" width="12.8181818181818" style="1"/>
    <col min="22" max="22" width="9" style="1"/>
    <col min="23" max="23" width="9.6" style="1" customWidth="1"/>
    <col min="24" max="24" width="11.9363636363636" style="1" customWidth="1"/>
    <col min="25" max="26" width="9" style="1"/>
    <col min="27" max="27" width="14" style="1"/>
    <col min="28" max="28" width="9" style="1"/>
    <col min="29" max="30" width="12.8181818181818" style="1"/>
    <col min="31" max="31" width="14" style="1"/>
    <col min="32" max="36" width="12.8181818181818" style="1"/>
    <col min="37" max="37" width="9" style="1"/>
    <col min="38" max="39" width="12.8181818181818" style="1"/>
    <col min="40" max="40" width="9" style="1"/>
    <col min="41" max="45" width="12.8181818181818" style="1"/>
    <col min="46" max="46" width="9" style="1"/>
    <col min="47" max="47" width="12.8181818181818" style="1"/>
    <col min="48" max="48" width="11.7272727272727" style="1"/>
    <col min="49" max="16384" width="9" style="1"/>
  </cols>
  <sheetData>
    <row r="1" s="1" customFormat="1" spans="1:44">
      <c r="A1" s="3" t="s">
        <v>0</v>
      </c>
      <c r="B1" s="4" t="s">
        <v>1</v>
      </c>
      <c r="C1" s="4"/>
      <c r="D1" s="4"/>
      <c r="E1" s="4" t="s">
        <v>2</v>
      </c>
      <c r="F1" s="4"/>
      <c r="G1" s="4" t="s">
        <v>3</v>
      </c>
      <c r="H1" s="4"/>
      <c r="I1" s="4" t="s">
        <v>4</v>
      </c>
      <c r="J1" s="4"/>
      <c r="K1" s="4" t="s">
        <v>5</v>
      </c>
      <c r="L1" s="4"/>
      <c r="N1" s="4" t="s">
        <v>2</v>
      </c>
      <c r="O1" s="4"/>
      <c r="P1" s="4" t="s">
        <v>3</v>
      </c>
      <c r="Q1" s="4"/>
      <c r="R1" s="4" t="s">
        <v>4</v>
      </c>
      <c r="S1" s="4"/>
      <c r="T1" s="4" t="s">
        <v>5</v>
      </c>
      <c r="U1" s="4"/>
      <c r="V1" s="4"/>
      <c r="W1" s="4" t="s">
        <v>6</v>
      </c>
      <c r="X1" s="10" t="s">
        <v>7</v>
      </c>
      <c r="Y1" s="4" t="s">
        <v>2</v>
      </c>
      <c r="Z1" s="4"/>
      <c r="AA1" s="4" t="s">
        <v>3</v>
      </c>
      <c r="AB1" s="4"/>
      <c r="AC1" s="4" t="s">
        <v>8</v>
      </c>
      <c r="AD1" s="4"/>
      <c r="AE1" s="4" t="s">
        <v>5</v>
      </c>
      <c r="AF1" s="4"/>
      <c r="AI1" s="4"/>
      <c r="AJ1" s="4"/>
      <c r="AK1" s="4" t="s">
        <v>3</v>
      </c>
      <c r="AL1" s="4"/>
      <c r="AM1" s="4" t="s">
        <v>9</v>
      </c>
      <c r="AN1" s="4"/>
      <c r="AO1" s="4" t="s">
        <v>10</v>
      </c>
      <c r="AP1" s="4"/>
      <c r="AQ1" s="4" t="s">
        <v>5</v>
      </c>
      <c r="AR1" s="4"/>
    </row>
    <row r="2" s="1" customFormat="1" spans="1:39">
      <c r="A2" s="2" t="s">
        <v>7</v>
      </c>
      <c r="B2" s="5" t="s">
        <v>11</v>
      </c>
      <c r="C2" s="6" t="s">
        <v>12</v>
      </c>
      <c r="D2" s="1">
        <v>52737</v>
      </c>
      <c r="E2" s="6">
        <v>0.198540163345308</v>
      </c>
      <c r="F2" s="6">
        <v>0.706102802564128</v>
      </c>
      <c r="G2" s="6">
        <v>0.345087174934387</v>
      </c>
      <c r="H2" s="6">
        <v>0.502916618026324</v>
      </c>
      <c r="I2" s="6">
        <v>-0.530918148859118</v>
      </c>
      <c r="J2" s="6">
        <v>0.278448809302986</v>
      </c>
      <c r="K2" s="6">
        <v>-0.315340133168837</v>
      </c>
      <c r="L2" s="6">
        <v>0.542668417000733</v>
      </c>
      <c r="M2" s="5" t="s">
        <v>13</v>
      </c>
      <c r="N2" s="6">
        <v>-0.891023505197365</v>
      </c>
      <c r="O2" s="6">
        <v>0.0171667189367517</v>
      </c>
      <c r="P2" s="6">
        <v>0.192749467049418</v>
      </c>
      <c r="Q2" s="6">
        <v>0.714456347936174</v>
      </c>
      <c r="R2" s="6">
        <v>-0.59878840959176</v>
      </c>
      <c r="S2" s="6">
        <v>0.209164447058817</v>
      </c>
      <c r="T2" s="6">
        <v>0.018471447799277</v>
      </c>
      <c r="U2" s="6">
        <v>0.972295979478209</v>
      </c>
      <c r="V2" s="11" t="s">
        <v>14</v>
      </c>
      <c r="X2" s="5" t="s">
        <v>15</v>
      </c>
      <c r="Y2" s="6">
        <v>0.515318551498631</v>
      </c>
      <c r="Z2" s="6">
        <v>0.0864088787567137</v>
      </c>
      <c r="AA2" s="6">
        <v>0.167808880935405</v>
      </c>
      <c r="AB2" s="6">
        <v>0.60215054705359</v>
      </c>
      <c r="AC2" s="6">
        <v>0.117637453606132</v>
      </c>
      <c r="AD2" s="6">
        <v>0.715777146489194</v>
      </c>
      <c r="AE2" s="6">
        <v>-0.198647541035015</v>
      </c>
      <c r="AF2" s="6">
        <v>0.535965435235329</v>
      </c>
      <c r="AG2" s="6"/>
      <c r="AH2" s="6" t="s">
        <v>16</v>
      </c>
      <c r="AI2" s="6">
        <v>0.350853098635034</v>
      </c>
      <c r="AJ2" s="6">
        <v>0.290092827984324</v>
      </c>
      <c r="AL2" s="6"/>
      <c r="AM2" s="6"/>
    </row>
    <row r="3" s="1" customFormat="1" spans="1:39">
      <c r="A3" s="2" t="s">
        <v>7</v>
      </c>
      <c r="B3" s="5" t="s">
        <v>11</v>
      </c>
      <c r="C3" s="6" t="s">
        <v>17</v>
      </c>
      <c r="D3" s="1">
        <v>52853</v>
      </c>
      <c r="E3" s="6">
        <v>0.300894726227626</v>
      </c>
      <c r="F3" s="6">
        <v>0.56227905929818</v>
      </c>
      <c r="G3" s="6">
        <v>-0.612227106375557</v>
      </c>
      <c r="H3" s="6">
        <v>0.196397443785978</v>
      </c>
      <c r="I3" s="6">
        <v>0.372615391243594</v>
      </c>
      <c r="J3" s="6">
        <v>0.466944289022078</v>
      </c>
      <c r="K3" s="6">
        <v>0.140736423417698</v>
      </c>
      <c r="L3" s="6">
        <v>0.679796058265294</v>
      </c>
      <c r="M3" s="5" t="s">
        <v>13</v>
      </c>
      <c r="N3" s="6">
        <v>0.151115163613532</v>
      </c>
      <c r="O3" s="6">
        <v>0.775052671852786</v>
      </c>
      <c r="P3" s="6">
        <v>-0.0780561152821791</v>
      </c>
      <c r="Q3" s="6">
        <v>0.883153615553309</v>
      </c>
      <c r="R3" s="6">
        <v>0.160471478251216</v>
      </c>
      <c r="S3" s="6">
        <v>0.761358940790444</v>
      </c>
      <c r="T3" s="6">
        <v>-0.220039961008278</v>
      </c>
      <c r="U3" s="6">
        <v>0.515606458236044</v>
      </c>
      <c r="V3" s="11" t="s">
        <v>18</v>
      </c>
      <c r="W3" s="6"/>
      <c r="X3" s="5" t="s">
        <v>15</v>
      </c>
      <c r="Y3" s="6">
        <v>0.4403616323981</v>
      </c>
      <c r="Z3" s="6">
        <v>0.202777907380337</v>
      </c>
      <c r="AA3" s="6">
        <v>-0.175109884637556</v>
      </c>
      <c r="AB3" s="6">
        <v>0.628478337042707</v>
      </c>
      <c r="AC3" s="6">
        <v>-0.597335475021146</v>
      </c>
      <c r="AD3" s="6">
        <v>0.0682274166971879</v>
      </c>
      <c r="AE3" s="6">
        <v>-0.183053436954273</v>
      </c>
      <c r="AF3" s="6">
        <v>0.61272080463532</v>
      </c>
      <c r="AG3" s="6"/>
      <c r="AH3" s="6" t="s">
        <v>19</v>
      </c>
      <c r="AI3" s="6">
        <v>0.215792964527581</v>
      </c>
      <c r="AJ3" s="6">
        <v>0.577093976679074</v>
      </c>
      <c r="AL3" s="6"/>
      <c r="AM3" s="6"/>
    </row>
    <row r="4" s="1" customFormat="1" spans="1:42">
      <c r="A4" s="2" t="s">
        <v>7</v>
      </c>
      <c r="B4" s="5" t="s">
        <v>11</v>
      </c>
      <c r="C4" s="6" t="s">
        <v>20</v>
      </c>
      <c r="D4" s="1">
        <v>52853</v>
      </c>
      <c r="E4" s="6">
        <v>-0.170915262182619</v>
      </c>
      <c r="F4" s="6">
        <v>0.746123497339787</v>
      </c>
      <c r="G4" s="6">
        <v>0.0239142142088093</v>
      </c>
      <c r="H4" s="6">
        <v>0.964135516832478</v>
      </c>
      <c r="I4" s="6">
        <v>-0.214827196844239</v>
      </c>
      <c r="J4" s="6">
        <v>0.682716420122399</v>
      </c>
      <c r="K4" s="6">
        <v>-0.610615526881195</v>
      </c>
      <c r="L4" s="6">
        <v>0.0459987073404834</v>
      </c>
      <c r="M4" s="5" t="s">
        <v>13</v>
      </c>
      <c r="N4" s="6">
        <v>0.0893258112899007</v>
      </c>
      <c r="O4" s="6">
        <v>0.866367652880708</v>
      </c>
      <c r="P4" s="6">
        <v>0.2410011487843</v>
      </c>
      <c r="Q4" s="6">
        <v>0.645497137407839</v>
      </c>
      <c r="R4" s="6">
        <v>-0.0175295259845455</v>
      </c>
      <c r="S4" s="6">
        <v>0.973708404297078</v>
      </c>
      <c r="T4" s="6">
        <v>-0.0540919270061727</v>
      </c>
      <c r="U4" s="6">
        <v>0.874491620559284</v>
      </c>
      <c r="V4" s="11" t="s">
        <v>21</v>
      </c>
      <c r="W4" s="6"/>
      <c r="X4" s="5" t="s">
        <v>15</v>
      </c>
      <c r="Y4" s="13">
        <v>0.000764614143736428</v>
      </c>
      <c r="Z4" s="6">
        <v>0.998327407538433</v>
      </c>
      <c r="AA4" s="6">
        <v>-0.342255469571741</v>
      </c>
      <c r="AB4" s="6">
        <v>0.333024163187288</v>
      </c>
      <c r="AC4" s="6">
        <v>-0.455453474860732</v>
      </c>
      <c r="AD4" s="6">
        <v>0.185914382327912</v>
      </c>
      <c r="AE4" s="6">
        <v>-0.615290669173773</v>
      </c>
      <c r="AF4" s="6">
        <v>0.0582927094356171</v>
      </c>
      <c r="AG4" s="6"/>
      <c r="AH4" s="6" t="s">
        <v>22</v>
      </c>
      <c r="AI4" s="6">
        <v>0.167139240693133</v>
      </c>
      <c r="AJ4" s="6">
        <v>0.667333971244548</v>
      </c>
      <c r="AL4" s="15" t="s">
        <v>23</v>
      </c>
      <c r="AM4" s="1" t="s">
        <v>24</v>
      </c>
      <c r="AN4" s="1" t="s">
        <v>25</v>
      </c>
      <c r="AO4" s="1" t="s">
        <v>26</v>
      </c>
      <c r="AP4" s="1" t="s">
        <v>27</v>
      </c>
    </row>
    <row r="5" s="1" customFormat="1" spans="1:42">
      <c r="A5" s="2" t="s">
        <v>7</v>
      </c>
      <c r="B5" s="5" t="s">
        <v>11</v>
      </c>
      <c r="C5" s="6" t="s">
        <v>28</v>
      </c>
      <c r="D5" s="1">
        <v>52853</v>
      </c>
      <c r="E5" s="6">
        <v>0.351498129671485</v>
      </c>
      <c r="F5" s="6">
        <v>0.494466766807172</v>
      </c>
      <c r="G5" s="6">
        <v>-0.116172987770958</v>
      </c>
      <c r="H5" s="6">
        <v>0.82652446313823</v>
      </c>
      <c r="I5" s="6">
        <v>-0.675432222972415</v>
      </c>
      <c r="J5" s="6">
        <v>0.140920689621367</v>
      </c>
      <c r="K5" s="6">
        <v>0.32528807663677</v>
      </c>
      <c r="L5" s="6">
        <v>0.329011007790224</v>
      </c>
      <c r="M5" s="5" t="s">
        <v>13</v>
      </c>
      <c r="N5" s="6">
        <v>-0.247374342704119</v>
      </c>
      <c r="O5" s="6">
        <v>0.63650740680018</v>
      </c>
      <c r="P5" s="6">
        <v>-0.691583974219936</v>
      </c>
      <c r="Q5" s="6">
        <v>0.128012332634769</v>
      </c>
      <c r="R5" s="6">
        <v>-0.0626178671567715</v>
      </c>
      <c r="S5" s="6">
        <v>0.906195961508471</v>
      </c>
      <c r="T5" s="6">
        <v>0.40319827105648</v>
      </c>
      <c r="U5" s="6">
        <v>0.218844948639485</v>
      </c>
      <c r="V5" s="11" t="s">
        <v>14</v>
      </c>
      <c r="W5" s="6"/>
      <c r="X5" s="5" t="s">
        <v>15</v>
      </c>
      <c r="Y5" s="6">
        <v>0.0845631602736875</v>
      </c>
      <c r="Z5" s="6">
        <v>0.816335213404488</v>
      </c>
      <c r="AA5" s="13">
        <v>0.128853567773334</v>
      </c>
      <c r="AB5" s="6">
        <v>0.722766292772078</v>
      </c>
      <c r="AC5" s="6">
        <v>-0.294319656100711</v>
      </c>
      <c r="AD5" s="6">
        <v>0.409107557382002</v>
      </c>
      <c r="AE5" s="6">
        <v>0.127205124326512</v>
      </c>
      <c r="AF5" s="6">
        <v>0.726197829374294</v>
      </c>
      <c r="AG5" s="6"/>
      <c r="AH5" s="6" t="s">
        <v>29</v>
      </c>
      <c r="AI5" s="6">
        <v>0.395517521099581</v>
      </c>
      <c r="AJ5" s="6">
        <v>0.292041926241736</v>
      </c>
      <c r="AL5" s="15" t="s">
        <v>30</v>
      </c>
      <c r="AM5" s="7">
        <v>0.722222222222222</v>
      </c>
      <c r="AN5" s="8">
        <v>0</v>
      </c>
      <c r="AO5" s="7">
        <v>0.166666666666667</v>
      </c>
      <c r="AP5" s="7">
        <v>0.111111111111111</v>
      </c>
    </row>
    <row r="6" s="1" customFormat="1" spans="1:42">
      <c r="A6" s="2" t="s">
        <v>7</v>
      </c>
      <c r="B6" s="5" t="s">
        <v>11</v>
      </c>
      <c r="C6" s="6" t="s">
        <v>31</v>
      </c>
      <c r="D6" s="1">
        <v>52853</v>
      </c>
      <c r="E6" s="6">
        <v>0.160685994113148</v>
      </c>
      <c r="F6" s="6">
        <v>0.761045464106735</v>
      </c>
      <c r="G6" s="6">
        <v>0.213958710087158</v>
      </c>
      <c r="H6" s="6">
        <v>0.683959271047215</v>
      </c>
      <c r="I6" s="6">
        <v>-0.643788458448753</v>
      </c>
      <c r="J6" s="6">
        <v>0.167730746705274</v>
      </c>
      <c r="K6" s="6">
        <v>0.057965998155187</v>
      </c>
      <c r="L6" s="6">
        <v>0.865570723870485</v>
      </c>
      <c r="M6" s="5" t="s">
        <v>13</v>
      </c>
      <c r="N6" s="6">
        <v>-0.463692171646344</v>
      </c>
      <c r="O6" s="6">
        <v>0.35431106914783</v>
      </c>
      <c r="P6" s="6">
        <v>-0.338211825513346</v>
      </c>
      <c r="Q6" s="6">
        <v>0.512025820174768</v>
      </c>
      <c r="R6" s="6">
        <v>-0.0906643410592782</v>
      </c>
      <c r="S6" s="6">
        <v>0.864376119883677</v>
      </c>
      <c r="T6" s="6">
        <v>-0.0104988467386231</v>
      </c>
      <c r="U6" s="6">
        <v>0.975559628871682</v>
      </c>
      <c r="V6" s="11" t="s">
        <v>21</v>
      </c>
      <c r="W6" s="6"/>
      <c r="X6" s="5" t="s">
        <v>15</v>
      </c>
      <c r="Y6" s="6">
        <v>0.292039356021114</v>
      </c>
      <c r="Z6" s="6">
        <v>0.412916842838457</v>
      </c>
      <c r="AA6" s="6">
        <v>0.133024171860282</v>
      </c>
      <c r="AB6" s="6">
        <v>0.714104383923092</v>
      </c>
      <c r="AC6" s="6">
        <v>-0.0230259551329053</v>
      </c>
      <c r="AD6" s="6">
        <v>0.949657420171455</v>
      </c>
      <c r="AE6" s="6">
        <v>0.233329611660298</v>
      </c>
      <c r="AF6" s="6">
        <v>0.516483549819222</v>
      </c>
      <c r="AG6" s="6"/>
      <c r="AH6" s="6" t="s">
        <v>32</v>
      </c>
      <c r="AI6" s="6">
        <v>-0.0273702226631657</v>
      </c>
      <c r="AJ6" s="6">
        <v>0.944276636900971</v>
      </c>
      <c r="AL6" s="15" t="s">
        <v>33</v>
      </c>
      <c r="AM6" s="7">
        <v>0.333333333333333</v>
      </c>
      <c r="AN6" s="7">
        <v>0.166666666666667</v>
      </c>
      <c r="AO6" s="7">
        <v>0.444444444444444</v>
      </c>
      <c r="AP6" s="7">
        <v>0.0555555555555556</v>
      </c>
    </row>
    <row r="7" s="1" customFormat="1" spans="1:42">
      <c r="A7" s="2" t="s">
        <v>7</v>
      </c>
      <c r="B7" s="5" t="s">
        <v>11</v>
      </c>
      <c r="C7" s="6" t="s">
        <v>34</v>
      </c>
      <c r="D7" s="1">
        <v>52853</v>
      </c>
      <c r="E7" s="6">
        <v>0.709944709182892</v>
      </c>
      <c r="F7" s="6">
        <v>0.113996631330005</v>
      </c>
      <c r="G7" s="6">
        <v>0.772581943070032</v>
      </c>
      <c r="H7" s="6">
        <v>0.0716975447971257</v>
      </c>
      <c r="I7" s="6">
        <v>-0.801756500198281</v>
      </c>
      <c r="J7" s="6">
        <v>0.0550551949541229</v>
      </c>
      <c r="K7" s="6">
        <v>-0.228685531026467</v>
      </c>
      <c r="L7" s="6">
        <v>0.498806854521976</v>
      </c>
      <c r="M7" s="5" t="s">
        <v>13</v>
      </c>
      <c r="N7" s="6">
        <v>-0.576367634779952</v>
      </c>
      <c r="O7" s="6">
        <v>0.231183111224252</v>
      </c>
      <c r="P7" s="6">
        <v>0.714177257894579</v>
      </c>
      <c r="Q7" s="6">
        <v>0.11086686686056</v>
      </c>
      <c r="R7" s="6">
        <v>-0.323587927079365</v>
      </c>
      <c r="S7" s="6">
        <v>0.531559417220381</v>
      </c>
      <c r="T7" s="6">
        <v>0.0413588916176625</v>
      </c>
      <c r="U7" s="6">
        <v>0.903899756719322</v>
      </c>
      <c r="V7" s="11" t="s">
        <v>21</v>
      </c>
      <c r="W7" s="6"/>
      <c r="X7" s="5" t="s">
        <v>15</v>
      </c>
      <c r="Y7" s="6">
        <v>-0.238043068746565</v>
      </c>
      <c r="Z7" s="6">
        <v>0.507797440967912</v>
      </c>
      <c r="AA7" s="6">
        <v>0.631791243888818</v>
      </c>
      <c r="AB7" s="6">
        <v>0.0500500990005064</v>
      </c>
      <c r="AC7" s="6">
        <v>0.346248867660387</v>
      </c>
      <c r="AD7" s="6">
        <v>0.327040838289999</v>
      </c>
      <c r="AE7" s="6">
        <v>0.46806630757342</v>
      </c>
      <c r="AF7" s="6">
        <v>0.172476871157061</v>
      </c>
      <c r="AG7" s="6"/>
      <c r="AH7" s="6" t="s">
        <v>35</v>
      </c>
      <c r="AI7" s="6">
        <v>0.282472428216791</v>
      </c>
      <c r="AJ7" s="6">
        <v>0.461454016661916</v>
      </c>
      <c r="AL7" s="15" t="s">
        <v>4</v>
      </c>
      <c r="AM7" s="7">
        <v>0.277777777777778</v>
      </c>
      <c r="AN7" s="7">
        <v>0.111111111111111</v>
      </c>
      <c r="AO7" s="7">
        <v>0.611111111111111</v>
      </c>
      <c r="AP7" s="1">
        <v>0</v>
      </c>
    </row>
    <row r="8" s="1" customFormat="1" spans="1:42">
      <c r="A8" s="2" t="s">
        <v>7</v>
      </c>
      <c r="B8" s="5" t="s">
        <v>11</v>
      </c>
      <c r="C8" s="6" t="s">
        <v>36</v>
      </c>
      <c r="D8" s="1">
        <v>52853</v>
      </c>
      <c r="E8" s="6">
        <v>-0.751354612331963</v>
      </c>
      <c r="F8" s="6">
        <v>0.0850506012463798</v>
      </c>
      <c r="G8" s="6">
        <v>0.221309158719958</v>
      </c>
      <c r="H8" s="6">
        <v>0.673455873550876</v>
      </c>
      <c r="I8" s="6">
        <v>-0.0451996169263538</v>
      </c>
      <c r="J8" s="6">
        <v>0.932246746140527</v>
      </c>
      <c r="K8" s="6">
        <v>0.290379585812822</v>
      </c>
      <c r="L8" s="6">
        <v>0.38636215884561</v>
      </c>
      <c r="M8" s="5" t="s">
        <v>13</v>
      </c>
      <c r="N8" s="6">
        <v>-0.746685523535889</v>
      </c>
      <c r="O8" s="6">
        <v>0.0881249659470709</v>
      </c>
      <c r="P8" s="6">
        <v>-0.642990770938004</v>
      </c>
      <c r="Q8" s="6">
        <v>0.168431973555465</v>
      </c>
      <c r="R8" s="6">
        <v>0.239970732210458</v>
      </c>
      <c r="S8" s="6">
        <v>0.646953373255661</v>
      </c>
      <c r="T8" s="6">
        <v>0.416015464172282</v>
      </c>
      <c r="U8" s="6">
        <v>0.203153872124877</v>
      </c>
      <c r="V8" s="11" t="s">
        <v>14</v>
      </c>
      <c r="W8" s="6"/>
      <c r="X8" s="5" t="s">
        <v>15</v>
      </c>
      <c r="Y8" s="6">
        <v>-0.748396294061424</v>
      </c>
      <c r="Z8" s="6">
        <v>0.0127740744927477</v>
      </c>
      <c r="AA8" s="6">
        <v>0.152831059066552</v>
      </c>
      <c r="AB8" s="6">
        <v>0.673382006956799</v>
      </c>
      <c r="AC8" s="6">
        <v>0.689281412787927</v>
      </c>
      <c r="AD8" s="6">
        <v>0.0274558526714482</v>
      </c>
      <c r="AE8" s="6">
        <v>0.310680470322135</v>
      </c>
      <c r="AF8" s="6">
        <v>0.382272677795858</v>
      </c>
      <c r="AG8" s="6"/>
      <c r="AH8" s="6" t="s">
        <v>37</v>
      </c>
      <c r="AI8" s="6">
        <v>0.0854716684792042</v>
      </c>
      <c r="AJ8" s="6">
        <v>0.82693508833195</v>
      </c>
      <c r="AL8" s="15" t="s">
        <v>5</v>
      </c>
      <c r="AM8" s="7">
        <v>0.5</v>
      </c>
      <c r="AN8" s="7">
        <v>0</v>
      </c>
      <c r="AO8" s="1">
        <v>0.388888888888889</v>
      </c>
      <c r="AP8" s="7">
        <v>0.111111111111111</v>
      </c>
    </row>
    <row r="9" s="1" customFormat="1" spans="1:42">
      <c r="A9" s="2" t="s">
        <v>7</v>
      </c>
      <c r="B9" s="5" t="s">
        <v>11</v>
      </c>
      <c r="C9" s="6" t="s">
        <v>38</v>
      </c>
      <c r="D9" s="1">
        <v>52853</v>
      </c>
      <c r="E9" s="6">
        <v>-0.647808091970616</v>
      </c>
      <c r="F9" s="6">
        <v>0.164215919414275</v>
      </c>
      <c r="G9" s="6">
        <v>-0.280335451348471</v>
      </c>
      <c r="H9" s="6">
        <v>0.590512319336342</v>
      </c>
      <c r="I9" s="6">
        <v>0.107427201705526</v>
      </c>
      <c r="J9" s="6">
        <v>0.839479084820642</v>
      </c>
      <c r="K9" s="6">
        <v>0.146043219509463</v>
      </c>
      <c r="L9" s="6">
        <v>0.668307312419112</v>
      </c>
      <c r="M9" s="5" t="s">
        <v>13</v>
      </c>
      <c r="N9" s="6">
        <v>-0.19166821345217</v>
      </c>
      <c r="O9" s="6">
        <v>0.71601830903824</v>
      </c>
      <c r="P9" s="6">
        <v>-0.668624366820708</v>
      </c>
      <c r="Q9" s="6">
        <v>0.146520567694537</v>
      </c>
      <c r="R9" s="6">
        <v>0.104724002780801</v>
      </c>
      <c r="S9" s="6">
        <v>0.843488256011752</v>
      </c>
      <c r="T9" s="6">
        <v>-0.259396257015611</v>
      </c>
      <c r="U9" s="6">
        <v>0.441144723890632</v>
      </c>
      <c r="V9" s="11" t="s">
        <v>14</v>
      </c>
      <c r="W9" s="6"/>
      <c r="X9" s="5" t="s">
        <v>15</v>
      </c>
      <c r="Y9" s="6">
        <v>0.299855131899539</v>
      </c>
      <c r="Z9" s="6">
        <v>0.399930308835395</v>
      </c>
      <c r="AA9" s="6">
        <v>-0.243068444273504</v>
      </c>
      <c r="AB9" s="6">
        <v>0.498604574846169</v>
      </c>
      <c r="AC9" s="6">
        <v>-0.223053434518349</v>
      </c>
      <c r="AD9" s="6">
        <v>0.535630390590291</v>
      </c>
      <c r="AE9" s="6">
        <v>-0.23786120697132</v>
      </c>
      <c r="AF9" s="6">
        <v>0.508131441989039</v>
      </c>
      <c r="AG9" s="6"/>
      <c r="AH9" s="6" t="s">
        <v>39</v>
      </c>
      <c r="AI9" s="6">
        <v>0.135421683986586</v>
      </c>
      <c r="AJ9" s="6">
        <v>0.728302618094509</v>
      </c>
      <c r="AL9" s="1" t="s">
        <v>40</v>
      </c>
      <c r="AM9" s="7">
        <v>0.666666666666667</v>
      </c>
      <c r="AN9" s="7">
        <v>0</v>
      </c>
      <c r="AO9" s="7">
        <v>0.333333333333333</v>
      </c>
      <c r="AP9" s="1">
        <v>0</v>
      </c>
    </row>
    <row r="10" s="1" customFormat="1" spans="1:39">
      <c r="A10" s="2" t="s">
        <v>7</v>
      </c>
      <c r="B10" s="5" t="s">
        <v>11</v>
      </c>
      <c r="C10" s="6" t="s">
        <v>41</v>
      </c>
      <c r="D10" s="1">
        <v>52853</v>
      </c>
      <c r="E10" s="6">
        <v>0.776782823045632</v>
      </c>
      <c r="F10" s="6">
        <v>0.122270359453985</v>
      </c>
      <c r="G10" s="6">
        <v>-0.516273999324132</v>
      </c>
      <c r="H10" s="6">
        <v>0.37315633037886</v>
      </c>
      <c r="I10" s="6">
        <v>-0.706870220935382</v>
      </c>
      <c r="J10" s="6">
        <v>0.181903128487865</v>
      </c>
      <c r="K10" s="6">
        <v>-0.162492344263487</v>
      </c>
      <c r="L10" s="6">
        <v>0.653785517850851</v>
      </c>
      <c r="M10" s="5" t="s">
        <v>13</v>
      </c>
      <c r="N10" s="6">
        <v>-0.220854329604743</v>
      </c>
      <c r="O10" s="6">
        <v>0.721102559992798</v>
      </c>
      <c r="P10" s="6">
        <v>0.321636864902699</v>
      </c>
      <c r="Q10" s="6">
        <v>0.597653895353088</v>
      </c>
      <c r="R10" s="6">
        <v>0.113794941519712</v>
      </c>
      <c r="S10" s="6">
        <v>0.855425090576989</v>
      </c>
      <c r="T10" s="6">
        <v>0.298263278555868</v>
      </c>
      <c r="U10" s="6">
        <v>0.40255925550613</v>
      </c>
      <c r="V10" s="12" t="s">
        <v>42</v>
      </c>
      <c r="W10" s="6"/>
      <c r="X10" s="5" t="s">
        <v>15</v>
      </c>
      <c r="Y10" s="6">
        <v>0.413301405915139</v>
      </c>
      <c r="Z10" s="6">
        <v>0.356715942826346</v>
      </c>
      <c r="AA10" s="6">
        <v>-0.384427569940366</v>
      </c>
      <c r="AB10" s="6">
        <v>0.394510716307912</v>
      </c>
      <c r="AC10" s="6">
        <v>-0.370572904622344</v>
      </c>
      <c r="AD10" s="6">
        <v>0.413186596129787</v>
      </c>
      <c r="AE10" s="6">
        <v>-0.060541439600192</v>
      </c>
      <c r="AF10" s="6">
        <v>0.897409911379765</v>
      </c>
      <c r="AG10" s="6"/>
      <c r="AH10" s="6" t="s">
        <v>43</v>
      </c>
      <c r="AI10" s="6">
        <v>0.0106874901814596</v>
      </c>
      <c r="AJ10" s="6">
        <v>0.983969375103448</v>
      </c>
      <c r="AL10" s="6"/>
      <c r="AM10" s="6"/>
    </row>
    <row r="11" s="1" customFormat="1" spans="1:39">
      <c r="A11" s="2" t="s">
        <v>7</v>
      </c>
      <c r="B11" s="5" t="s">
        <v>11</v>
      </c>
      <c r="C11" s="6" t="s">
        <v>44</v>
      </c>
      <c r="D11" s="1">
        <v>52853</v>
      </c>
      <c r="E11" s="6">
        <v>-0.455800619871548</v>
      </c>
      <c r="F11" s="6">
        <v>0.363646317919796</v>
      </c>
      <c r="G11" s="6">
        <v>0.189325356020326</v>
      </c>
      <c r="H11" s="6">
        <v>0.719405063560663</v>
      </c>
      <c r="I11" s="6">
        <v>-0.767027420863026</v>
      </c>
      <c r="J11" s="6">
        <v>0.0750918981586697</v>
      </c>
      <c r="K11" s="6">
        <v>-0.450295780140874</v>
      </c>
      <c r="L11" s="6">
        <v>0.164584249299833</v>
      </c>
      <c r="M11" s="5" t="s">
        <v>13</v>
      </c>
      <c r="N11" s="6">
        <v>-0.645653123562243</v>
      </c>
      <c r="O11" s="6">
        <v>0.16609636359776</v>
      </c>
      <c r="P11" s="6">
        <v>-0.275221608673369</v>
      </c>
      <c r="Q11" s="6">
        <v>0.597591183487316</v>
      </c>
      <c r="R11" s="6">
        <v>-0.61029667108019</v>
      </c>
      <c r="S11" s="6">
        <v>0.198211160888741</v>
      </c>
      <c r="T11" s="6">
        <v>-0.143042779259541</v>
      </c>
      <c r="U11" s="6">
        <v>0.674795330234504</v>
      </c>
      <c r="V11" s="11" t="s">
        <v>14</v>
      </c>
      <c r="W11" s="6"/>
      <c r="X11" s="5" t="s">
        <v>15</v>
      </c>
      <c r="Y11" s="13">
        <v>0.0301750984404881</v>
      </c>
      <c r="Z11" s="6">
        <v>0.934052042056104</v>
      </c>
      <c r="AA11" s="6">
        <v>0.372281543869041</v>
      </c>
      <c r="AB11" s="6">
        <v>0.289424198007454</v>
      </c>
      <c r="AC11" s="6">
        <v>-0.121686455685599</v>
      </c>
      <c r="AD11" s="6">
        <v>0.737717602415729</v>
      </c>
      <c r="AE11" s="6">
        <v>0.0443136436316563</v>
      </c>
      <c r="AF11" s="6">
        <v>0.903254033697485</v>
      </c>
      <c r="AG11" s="6"/>
      <c r="AH11" s="6" t="s">
        <v>45</v>
      </c>
      <c r="AI11" s="6">
        <v>0.527231036371092</v>
      </c>
      <c r="AJ11" s="6">
        <v>0.144672466315083</v>
      </c>
      <c r="AL11" s="6"/>
      <c r="AM11" s="6"/>
    </row>
    <row r="12" s="1" customFormat="1" spans="1:39">
      <c r="A12" s="2" t="s">
        <v>7</v>
      </c>
      <c r="B12" s="5" t="s">
        <v>11</v>
      </c>
      <c r="C12" s="6" t="s">
        <v>20</v>
      </c>
      <c r="D12" s="1">
        <v>52856</v>
      </c>
      <c r="E12" s="6">
        <v>-0.460328129828773</v>
      </c>
      <c r="F12" s="6">
        <v>0.180650241996736</v>
      </c>
      <c r="G12" s="6">
        <v>-0.292726084623642</v>
      </c>
      <c r="H12" s="6">
        <v>0.411767890853092</v>
      </c>
      <c r="I12" s="6">
        <v>-0.231712133096987</v>
      </c>
      <c r="J12" s="6">
        <v>0.519478357452013</v>
      </c>
      <c r="K12" s="6">
        <v>0.546017235957712</v>
      </c>
      <c r="L12" s="6">
        <v>0.0822709038721018</v>
      </c>
      <c r="M12" s="5" t="s">
        <v>13</v>
      </c>
      <c r="N12" s="6">
        <v>0.209121400079266</v>
      </c>
      <c r="O12" s="6">
        <v>0.56203271219541</v>
      </c>
      <c r="P12" s="6">
        <v>-0.104916753376517</v>
      </c>
      <c r="Q12" s="6">
        <v>0.773004247258577</v>
      </c>
      <c r="R12" s="6">
        <v>-0.356929482342216</v>
      </c>
      <c r="S12" s="6">
        <v>0.311314665803296</v>
      </c>
      <c r="T12" s="6">
        <v>0.500562749604931</v>
      </c>
      <c r="U12" s="6">
        <v>0.116828744373008</v>
      </c>
      <c r="V12" s="11" t="s">
        <v>21</v>
      </c>
      <c r="W12" s="6"/>
      <c r="X12" s="5" t="s">
        <v>15</v>
      </c>
      <c r="Y12" s="6">
        <v>-0.145171964410233</v>
      </c>
      <c r="Z12" s="6">
        <v>0.591654771935751</v>
      </c>
      <c r="AA12" s="6">
        <v>-0.229932137774298</v>
      </c>
      <c r="AB12" s="6">
        <v>0.391618038017702</v>
      </c>
      <c r="AC12" s="6">
        <v>0.374463225095813</v>
      </c>
      <c r="AD12" s="6">
        <v>0.153013575162179</v>
      </c>
      <c r="AE12" s="6">
        <v>0.434517383895622</v>
      </c>
      <c r="AF12" s="6">
        <v>0.092599789297609</v>
      </c>
      <c r="AG12" s="6"/>
      <c r="AH12" s="6" t="s">
        <v>22</v>
      </c>
      <c r="AI12" s="6">
        <v>0.385581294850646</v>
      </c>
      <c r="AJ12" s="6">
        <v>0.155785596540075</v>
      </c>
      <c r="AL12" s="6"/>
      <c r="AM12" s="6"/>
    </row>
    <row r="13" s="1" customFormat="1" spans="1:39">
      <c r="A13" s="2" t="s">
        <v>7</v>
      </c>
      <c r="B13" s="5" t="s">
        <v>11</v>
      </c>
      <c r="C13" s="6" t="s">
        <v>34</v>
      </c>
      <c r="D13" s="1">
        <v>52856</v>
      </c>
      <c r="E13" s="6">
        <v>-0.668793753974437</v>
      </c>
      <c r="F13" s="6">
        <v>0.0344734585251566</v>
      </c>
      <c r="G13" s="6">
        <v>-0.490152591117338</v>
      </c>
      <c r="H13" s="6">
        <v>0.150380332091068</v>
      </c>
      <c r="I13" s="6">
        <v>-0.41525156287462</v>
      </c>
      <c r="J13" s="6">
        <v>0.232729778633388</v>
      </c>
      <c r="K13" s="6">
        <v>0.574294197378188</v>
      </c>
      <c r="L13" s="6">
        <v>0.0646398333540639</v>
      </c>
      <c r="M13" s="5" t="s">
        <v>13</v>
      </c>
      <c r="N13" s="6">
        <v>0.237796052933264</v>
      </c>
      <c r="O13" s="6">
        <v>0.50825112399555</v>
      </c>
      <c r="P13" s="6">
        <v>0.00425567122614917</v>
      </c>
      <c r="Q13" s="6">
        <v>0.990690887788908</v>
      </c>
      <c r="R13" s="6">
        <v>-0.54754159527482</v>
      </c>
      <c r="S13" s="6">
        <v>0.101357351698757</v>
      </c>
      <c r="T13" s="6">
        <v>0.666011509729952</v>
      </c>
      <c r="U13" s="6">
        <v>0.0252664045080768</v>
      </c>
      <c r="V13" s="11" t="s">
        <v>21</v>
      </c>
      <c r="W13" s="6"/>
      <c r="X13" s="5" t="s">
        <v>15</v>
      </c>
      <c r="Y13" s="6">
        <v>-0.00361410617792849</v>
      </c>
      <c r="Z13" s="6">
        <v>0.989401486977506</v>
      </c>
      <c r="AA13" s="13">
        <v>0.0578424602225115</v>
      </c>
      <c r="AB13" s="6">
        <v>0.831499606399434</v>
      </c>
      <c r="AC13" s="6">
        <v>0.263291440527928</v>
      </c>
      <c r="AD13" s="6">
        <v>0.324493401165316</v>
      </c>
      <c r="AE13" s="6">
        <v>0.486226114096556</v>
      </c>
      <c r="AF13" s="6">
        <v>0.0561740173685219</v>
      </c>
      <c r="AG13" s="6"/>
      <c r="AH13" s="6" t="s">
        <v>35</v>
      </c>
      <c r="AI13" s="6">
        <v>0.136993634212299</v>
      </c>
      <c r="AJ13" s="6">
        <v>0.626364111390469</v>
      </c>
      <c r="AL13" s="6"/>
      <c r="AM13" s="6"/>
    </row>
    <row r="14" s="1" customFormat="1" spans="1:39">
      <c r="A14" s="2" t="s">
        <v>7</v>
      </c>
      <c r="B14" s="5" t="s">
        <v>11</v>
      </c>
      <c r="C14" s="6" t="s">
        <v>12</v>
      </c>
      <c r="D14" s="1">
        <v>52943</v>
      </c>
      <c r="E14" s="6">
        <v>0.412411518893836</v>
      </c>
      <c r="F14" s="6">
        <v>0.490191366442351</v>
      </c>
      <c r="G14" s="6">
        <v>0.62611586043656</v>
      </c>
      <c r="H14" s="6">
        <v>0.258488754809588</v>
      </c>
      <c r="I14" s="6">
        <v>0.733264589225518</v>
      </c>
      <c r="J14" s="6">
        <v>0.158586461939531</v>
      </c>
      <c r="K14" s="6">
        <v>-0.552508436743507</v>
      </c>
      <c r="L14" s="6">
        <v>0.255568247059257</v>
      </c>
      <c r="M14" s="5" t="s">
        <v>13</v>
      </c>
      <c r="N14" s="6">
        <v>0.833769279629365</v>
      </c>
      <c r="O14" s="6">
        <v>0.0792983401144317</v>
      </c>
      <c r="P14" s="6">
        <v>-0.322991897679951</v>
      </c>
      <c r="Q14" s="6">
        <v>0.59602068782439</v>
      </c>
      <c r="R14" s="6">
        <v>0.0739813275181348</v>
      </c>
      <c r="S14" s="6">
        <v>0.905890045039548</v>
      </c>
      <c r="T14" s="6">
        <v>-0.0959328154922569</v>
      </c>
      <c r="U14" s="6">
        <v>0.856542216652809</v>
      </c>
      <c r="V14" s="11" t="s">
        <v>14</v>
      </c>
      <c r="W14" s="6"/>
      <c r="X14" s="5" t="s">
        <v>15</v>
      </c>
      <c r="Y14" s="6">
        <v>0.240840767936043</v>
      </c>
      <c r="Z14" s="6">
        <v>0.47560087953183</v>
      </c>
      <c r="AA14" s="6">
        <v>-0.503355425211732</v>
      </c>
      <c r="AB14" s="6">
        <v>0.114474918272233</v>
      </c>
      <c r="AC14" s="6">
        <v>-0.586095564534278</v>
      </c>
      <c r="AD14" s="6">
        <v>0.058106277939319</v>
      </c>
      <c r="AE14" s="6">
        <v>-0.686822329173505</v>
      </c>
      <c r="AF14" s="6">
        <v>0.0195657612701489</v>
      </c>
      <c r="AG14" s="6"/>
      <c r="AH14" s="6" t="s">
        <v>16</v>
      </c>
      <c r="AI14" s="6">
        <v>-0.368947832551729</v>
      </c>
      <c r="AJ14" s="6">
        <v>0.294105552168334</v>
      </c>
      <c r="AL14" s="6"/>
      <c r="AM14" s="6"/>
    </row>
    <row r="15" s="1" customFormat="1" spans="1:39">
      <c r="A15" s="2" t="s">
        <v>7</v>
      </c>
      <c r="B15" s="5" t="s">
        <v>11</v>
      </c>
      <c r="C15" s="6" t="s">
        <v>20</v>
      </c>
      <c r="D15" s="1">
        <v>52943</v>
      </c>
      <c r="E15" s="6">
        <v>0.185682310389259</v>
      </c>
      <c r="F15" s="6">
        <v>0.764947587404955</v>
      </c>
      <c r="G15" s="6">
        <v>0.82674181446359</v>
      </c>
      <c r="H15" s="6">
        <v>0.0842854991992482</v>
      </c>
      <c r="I15" s="6">
        <v>-0.789913987810334</v>
      </c>
      <c r="J15" s="6">
        <v>0.11187854203423</v>
      </c>
      <c r="K15" s="6">
        <v>0.952767763808342</v>
      </c>
      <c r="L15" s="6">
        <v>0.00329364138029081</v>
      </c>
      <c r="M15" s="5" t="s">
        <v>13</v>
      </c>
      <c r="N15" s="6">
        <v>-0.324164014308614</v>
      </c>
      <c r="O15" s="6">
        <v>0.59460859074814</v>
      </c>
      <c r="P15" s="6">
        <v>0.877117682973152</v>
      </c>
      <c r="Q15" s="6">
        <v>0.0507453774716004</v>
      </c>
      <c r="R15" s="6">
        <v>0.441165439209145</v>
      </c>
      <c r="S15" s="6">
        <v>0.457084195908827</v>
      </c>
      <c r="T15" s="6">
        <v>-0.597733736134209</v>
      </c>
      <c r="U15" s="6">
        <v>0.210180229848166</v>
      </c>
      <c r="V15" s="11" t="s">
        <v>21</v>
      </c>
      <c r="W15" s="6"/>
      <c r="X15" s="5" t="s">
        <v>15</v>
      </c>
      <c r="Y15" s="6">
        <v>-0.273935890091283</v>
      </c>
      <c r="Z15" s="6">
        <v>0.414997149481617</v>
      </c>
      <c r="AA15" s="6">
        <v>0.788627667344054</v>
      </c>
      <c r="AB15" s="6">
        <v>0.00391965220293251</v>
      </c>
      <c r="AC15" s="6">
        <v>0.153170349960054</v>
      </c>
      <c r="AD15" s="6">
        <v>0.65297799578342</v>
      </c>
      <c r="AE15" s="6">
        <v>0.46309257428119</v>
      </c>
      <c r="AF15" s="6">
        <v>0.151444830341171</v>
      </c>
      <c r="AG15" s="6"/>
      <c r="AH15" s="6" t="s">
        <v>22</v>
      </c>
      <c r="AI15" s="6">
        <v>-0.428008852297569</v>
      </c>
      <c r="AJ15" s="6">
        <v>0.217217331981872</v>
      </c>
      <c r="AL15" s="6"/>
      <c r="AM15" s="6"/>
    </row>
    <row r="16" s="1" customFormat="1" spans="1:39">
      <c r="A16" s="2" t="s">
        <v>7</v>
      </c>
      <c r="B16" s="5" t="s">
        <v>11</v>
      </c>
      <c r="C16" s="6" t="s">
        <v>46</v>
      </c>
      <c r="D16" s="1">
        <v>52943</v>
      </c>
      <c r="E16" s="6">
        <v>-0.107673186080822</v>
      </c>
      <c r="F16" s="6">
        <v>0.863171603917873</v>
      </c>
      <c r="G16" s="6">
        <v>0.51365995510466</v>
      </c>
      <c r="H16" s="6">
        <v>0.376009384805688</v>
      </c>
      <c r="I16" s="6">
        <v>0.0817431912378648</v>
      </c>
      <c r="J16" s="6">
        <v>0.896037360914143</v>
      </c>
      <c r="K16" s="6">
        <v>-0.678550951487707</v>
      </c>
      <c r="L16" s="6">
        <v>0.138386652935422</v>
      </c>
      <c r="M16" s="5" t="s">
        <v>13</v>
      </c>
      <c r="N16" s="6">
        <v>-0.220434253465798</v>
      </c>
      <c r="O16" s="6">
        <v>0.7216242356253</v>
      </c>
      <c r="P16" s="6">
        <v>0.302016258819428</v>
      </c>
      <c r="Q16" s="6">
        <v>0.621389546610736</v>
      </c>
      <c r="R16" s="6">
        <v>-0.7364465418832</v>
      </c>
      <c r="S16" s="6">
        <v>0.155838720357496</v>
      </c>
      <c r="T16" s="6">
        <v>0.40821741447864</v>
      </c>
      <c r="U16" s="6">
        <v>0.421686850741498</v>
      </c>
      <c r="V16" s="11" t="s">
        <v>14</v>
      </c>
      <c r="W16" s="6"/>
      <c r="X16" s="5" t="s">
        <v>15</v>
      </c>
      <c r="Y16" s="6">
        <v>0.153961972950429</v>
      </c>
      <c r="Z16" s="6">
        <v>0.65128262492628</v>
      </c>
      <c r="AA16" s="6">
        <v>-0.499406730984422</v>
      </c>
      <c r="AB16" s="6">
        <v>0.117812149291918</v>
      </c>
      <c r="AC16" s="6">
        <v>-0.558188775445446</v>
      </c>
      <c r="AD16" s="6">
        <v>0.0743322813474969</v>
      </c>
      <c r="AE16" s="6">
        <v>-0.591815011678348</v>
      </c>
      <c r="AF16" s="6">
        <v>0.0551078804991896</v>
      </c>
      <c r="AG16" s="6"/>
      <c r="AH16" s="6" t="s">
        <v>47</v>
      </c>
      <c r="AI16" s="6">
        <v>-0.20736986811559</v>
      </c>
      <c r="AJ16" s="6">
        <v>0.565387020272015</v>
      </c>
      <c r="AL16" s="6"/>
      <c r="AM16" s="6"/>
    </row>
    <row r="17" s="1" customFormat="1" spans="1:39">
      <c r="A17" s="2" t="s">
        <v>7</v>
      </c>
      <c r="B17" s="5" t="s">
        <v>11</v>
      </c>
      <c r="C17" s="6" t="s">
        <v>31</v>
      </c>
      <c r="D17" s="1">
        <v>52943</v>
      </c>
      <c r="E17" s="6">
        <v>-0.268302919974465</v>
      </c>
      <c r="F17" s="6">
        <v>0.662530143738287</v>
      </c>
      <c r="G17" s="6">
        <v>-0.517588920263636</v>
      </c>
      <c r="H17" s="6">
        <v>0.37172316252476</v>
      </c>
      <c r="I17" s="6">
        <v>0.556236378350442</v>
      </c>
      <c r="J17" s="6">
        <v>0.330214978618575</v>
      </c>
      <c r="K17" s="6">
        <v>-0.446403845006007</v>
      </c>
      <c r="L17" s="6">
        <v>0.374873106481481</v>
      </c>
      <c r="M17" s="5" t="s">
        <v>13</v>
      </c>
      <c r="N17" s="6">
        <v>-0.17249642070095</v>
      </c>
      <c r="O17" s="6">
        <v>0.781464828218087</v>
      </c>
      <c r="P17" s="6">
        <v>-0.715786742801444</v>
      </c>
      <c r="Q17" s="6">
        <v>0.173923762971788</v>
      </c>
      <c r="R17" s="6">
        <v>-0.64483211070977</v>
      </c>
      <c r="S17" s="6">
        <v>0.240089628128924</v>
      </c>
      <c r="T17" s="6">
        <v>0.255512176662348</v>
      </c>
      <c r="U17" s="6">
        <v>0.625072479344147</v>
      </c>
      <c r="V17" s="11" t="s">
        <v>21</v>
      </c>
      <c r="W17" s="6"/>
      <c r="X17" s="5" t="s">
        <v>15</v>
      </c>
      <c r="Y17" s="6">
        <v>0.276593742775603</v>
      </c>
      <c r="Z17" s="6">
        <v>0.410300572829248</v>
      </c>
      <c r="AA17" s="6">
        <v>-0.288853711913943</v>
      </c>
      <c r="AB17" s="6">
        <v>0.388976591372833</v>
      </c>
      <c r="AC17" s="6">
        <v>-0.337316976976267</v>
      </c>
      <c r="AD17" s="6">
        <v>0.31036814455938</v>
      </c>
      <c r="AE17" s="6">
        <v>-0.311061228175092</v>
      </c>
      <c r="AF17" s="6">
        <v>0.351808109627923</v>
      </c>
      <c r="AG17" s="6"/>
      <c r="AH17" s="6" t="s">
        <v>32</v>
      </c>
      <c r="AI17" s="6">
        <v>-0.0988686049321085</v>
      </c>
      <c r="AJ17" s="6">
        <v>0.785826645501417</v>
      </c>
      <c r="AL17" s="6"/>
      <c r="AM17" s="6"/>
    </row>
    <row r="18" s="1" customFormat="1" spans="1:39">
      <c r="A18" s="2" t="s">
        <v>7</v>
      </c>
      <c r="B18" s="5" t="s">
        <v>11</v>
      </c>
      <c r="C18" s="6" t="s">
        <v>34</v>
      </c>
      <c r="D18" s="1">
        <v>52943</v>
      </c>
      <c r="E18" s="6">
        <v>-0.530242091754024</v>
      </c>
      <c r="F18" s="6">
        <v>0.358000876387649</v>
      </c>
      <c r="G18" s="6">
        <v>0.717323882795397</v>
      </c>
      <c r="H18" s="6">
        <v>0.172558593958369</v>
      </c>
      <c r="I18" s="6">
        <v>-0.548880376029025</v>
      </c>
      <c r="J18" s="6">
        <v>0.338021222357377</v>
      </c>
      <c r="K18" s="6">
        <v>0.870893598520636</v>
      </c>
      <c r="L18" s="6">
        <v>0.02392669172263</v>
      </c>
      <c r="M18" s="5" t="s">
        <v>13</v>
      </c>
      <c r="N18" s="6">
        <v>-0.884760606497085</v>
      </c>
      <c r="O18" s="6">
        <v>0.0461404751452132</v>
      </c>
      <c r="P18" s="6">
        <v>0.896824164029403</v>
      </c>
      <c r="Q18" s="6">
        <v>0.0391618141695827</v>
      </c>
      <c r="R18" s="6">
        <v>0.920328907071249</v>
      </c>
      <c r="S18" s="6">
        <v>0.0266701643178766</v>
      </c>
      <c r="T18" s="6">
        <v>-0.80620802145426</v>
      </c>
      <c r="U18" s="6">
        <v>0.0526940354782671</v>
      </c>
      <c r="V18" s="11" t="s">
        <v>21</v>
      </c>
      <c r="W18" s="6"/>
      <c r="X18" s="5" t="s">
        <v>15</v>
      </c>
      <c r="Y18" s="6">
        <v>-0.688330544121701</v>
      </c>
      <c r="Z18" s="6">
        <v>0.0191920703784708</v>
      </c>
      <c r="AA18" s="6">
        <v>0.826954108457499</v>
      </c>
      <c r="AB18" s="6">
        <v>0.00169011517592416</v>
      </c>
      <c r="AC18" s="6">
        <v>0.634072822367262</v>
      </c>
      <c r="AD18" s="6">
        <v>0.0361612510579096</v>
      </c>
      <c r="AE18" s="6">
        <v>0.297740353819853</v>
      </c>
      <c r="AF18" s="6">
        <v>0.37387484681194</v>
      </c>
      <c r="AG18" s="6"/>
      <c r="AH18" s="6" t="s">
        <v>35</v>
      </c>
      <c r="AI18" s="6">
        <v>-0.261983111326013</v>
      </c>
      <c r="AJ18" s="6">
        <v>0.464652583183081</v>
      </c>
      <c r="AL18" s="6"/>
      <c r="AM18" s="6"/>
    </row>
    <row r="19" s="1" customFormat="1" spans="1:39">
      <c r="A19" s="2" t="s">
        <v>7</v>
      </c>
      <c r="B19" s="5" t="s">
        <v>11</v>
      </c>
      <c r="C19" s="6" t="s">
        <v>38</v>
      </c>
      <c r="D19" s="1">
        <v>52943</v>
      </c>
      <c r="E19" s="6">
        <v>0.331623525466616</v>
      </c>
      <c r="F19" s="6">
        <v>0.58563595888248</v>
      </c>
      <c r="G19" s="6">
        <v>-0.397543409952017</v>
      </c>
      <c r="H19" s="6">
        <v>0.507499949468694</v>
      </c>
      <c r="I19" s="6">
        <v>0.610220091050088</v>
      </c>
      <c r="J19" s="6">
        <v>0.274397197590817</v>
      </c>
      <c r="K19" s="6">
        <v>-0.467700838958543</v>
      </c>
      <c r="L19" s="6">
        <v>0.349602135204007</v>
      </c>
      <c r="M19" s="5" t="s">
        <v>13</v>
      </c>
      <c r="N19" s="6">
        <v>0.796546154035306</v>
      </c>
      <c r="O19" s="6">
        <v>0.106736668067317</v>
      </c>
      <c r="P19" s="6">
        <v>-0.855660282220656</v>
      </c>
      <c r="Q19" s="6">
        <v>0.0643841503773735</v>
      </c>
      <c r="R19" s="6">
        <v>-0.175702822444528</v>
      </c>
      <c r="S19" s="6">
        <v>0.777444660578576</v>
      </c>
      <c r="T19" s="6">
        <v>-0.201704635011071</v>
      </c>
      <c r="U19" s="6">
        <v>0.701546199794862</v>
      </c>
      <c r="V19" s="11" t="s">
        <v>14</v>
      </c>
      <c r="W19" s="6"/>
      <c r="X19" s="5" t="s">
        <v>15</v>
      </c>
      <c r="Y19" s="6">
        <v>0.542177158181561</v>
      </c>
      <c r="Z19" s="6">
        <v>0.0848877557077523</v>
      </c>
      <c r="AA19" s="6">
        <v>-0.693382669309969</v>
      </c>
      <c r="AB19" s="6">
        <v>0.0179774185087178</v>
      </c>
      <c r="AC19" s="6">
        <v>-0.433538629098895</v>
      </c>
      <c r="AD19" s="6">
        <v>0.182821863228763</v>
      </c>
      <c r="AE19" s="6">
        <v>-0.428946883702249</v>
      </c>
      <c r="AF19" s="6">
        <v>0.188024711526349</v>
      </c>
      <c r="AG19" s="6"/>
      <c r="AH19" s="6" t="s">
        <v>39</v>
      </c>
      <c r="AI19" s="6">
        <v>0.0964771553468223</v>
      </c>
      <c r="AJ19" s="6">
        <v>0.790909638638284</v>
      </c>
      <c r="AL19" s="6"/>
      <c r="AM19" s="6"/>
    </row>
    <row r="20" s="1" customFormat="1" spans="1:36">
      <c r="A20" s="2"/>
      <c r="D20" s="1" t="s">
        <v>48</v>
      </c>
      <c r="E20" s="1">
        <v>9</v>
      </c>
      <c r="F20" s="1">
        <v>0</v>
      </c>
      <c r="G20" s="1">
        <v>10</v>
      </c>
      <c r="H20" s="1">
        <v>0</v>
      </c>
      <c r="I20" s="1">
        <v>6</v>
      </c>
      <c r="J20" s="1">
        <v>0</v>
      </c>
      <c r="K20" s="8">
        <v>9</v>
      </c>
      <c r="L20" s="8">
        <v>2</v>
      </c>
      <c r="N20" s="1">
        <v>6</v>
      </c>
      <c r="O20" s="1">
        <v>0</v>
      </c>
      <c r="P20" s="1">
        <v>9</v>
      </c>
      <c r="Q20" s="1">
        <v>2</v>
      </c>
      <c r="R20" s="1">
        <v>7</v>
      </c>
      <c r="S20" s="1">
        <v>1</v>
      </c>
      <c r="T20" s="1">
        <v>9</v>
      </c>
      <c r="U20" s="1">
        <v>1</v>
      </c>
      <c r="Y20" s="1">
        <v>13</v>
      </c>
      <c r="Z20" s="1">
        <v>0</v>
      </c>
      <c r="AA20" s="14">
        <v>9</v>
      </c>
      <c r="AB20" s="14">
        <v>3</v>
      </c>
      <c r="AC20" s="1">
        <v>7</v>
      </c>
      <c r="AD20" s="1">
        <v>2</v>
      </c>
      <c r="AE20" s="8">
        <v>9</v>
      </c>
      <c r="AF20" s="8">
        <v>0</v>
      </c>
      <c r="AI20" s="7">
        <v>12</v>
      </c>
      <c r="AJ20" s="7">
        <v>0</v>
      </c>
    </row>
    <row r="21" s="1" customFormat="1" spans="1:36">
      <c r="A21" s="2"/>
      <c r="D21" s="1" t="s">
        <v>49</v>
      </c>
      <c r="E21" s="1">
        <v>9</v>
      </c>
      <c r="F21" s="1">
        <v>1</v>
      </c>
      <c r="G21" s="1">
        <v>8</v>
      </c>
      <c r="H21" s="1">
        <v>0</v>
      </c>
      <c r="I21" s="1">
        <v>12</v>
      </c>
      <c r="J21" s="1">
        <v>1</v>
      </c>
      <c r="K21" s="8">
        <v>9</v>
      </c>
      <c r="L21" s="8">
        <v>1</v>
      </c>
      <c r="N21" s="8">
        <v>12</v>
      </c>
      <c r="O21" s="1">
        <v>2</v>
      </c>
      <c r="P21" s="1">
        <v>9</v>
      </c>
      <c r="Q21" s="1">
        <v>0</v>
      </c>
      <c r="R21" s="1">
        <v>11</v>
      </c>
      <c r="S21" s="1">
        <v>0</v>
      </c>
      <c r="T21" s="1">
        <v>9</v>
      </c>
      <c r="U21" s="1">
        <v>1</v>
      </c>
      <c r="X21" s="1" t="s">
        <v>50</v>
      </c>
      <c r="Y21" s="1">
        <v>5</v>
      </c>
      <c r="Z21" s="1">
        <v>2</v>
      </c>
      <c r="AA21" s="14">
        <v>9</v>
      </c>
      <c r="AB21" s="14">
        <v>1</v>
      </c>
      <c r="AC21" s="1">
        <v>11</v>
      </c>
      <c r="AD21" s="1">
        <v>0</v>
      </c>
      <c r="AE21" s="8">
        <v>9</v>
      </c>
      <c r="AF21" s="8">
        <v>2</v>
      </c>
      <c r="AI21" s="7">
        <v>6</v>
      </c>
      <c r="AJ21" s="7">
        <v>0</v>
      </c>
    </row>
    <row r="22" s="1" customFormat="1" spans="1:42">
      <c r="A22" s="2" t="s">
        <v>50</v>
      </c>
      <c r="B22" s="5" t="s">
        <v>11</v>
      </c>
      <c r="C22" s="6" t="s">
        <v>51</v>
      </c>
      <c r="D22" s="1">
        <v>52818</v>
      </c>
      <c r="E22" s="6">
        <v>-0.101621490924793</v>
      </c>
      <c r="F22" s="6">
        <v>0.779984444501999</v>
      </c>
      <c r="G22" s="6">
        <v>-0.115044536428963</v>
      </c>
      <c r="H22" s="6">
        <v>0.751644490526444</v>
      </c>
      <c r="I22" s="6">
        <v>-0.482193737590534</v>
      </c>
      <c r="J22" s="6">
        <v>0.158133145122233</v>
      </c>
      <c r="K22" s="6">
        <v>-0.381582961813029</v>
      </c>
      <c r="L22" s="6">
        <v>0.276576152814159</v>
      </c>
      <c r="M22" s="5" t="s">
        <v>13</v>
      </c>
      <c r="N22" s="6">
        <v>0.571325830764838</v>
      </c>
      <c r="O22" s="6">
        <v>0.0844822935349443</v>
      </c>
      <c r="P22" s="6">
        <v>0.636811295128516</v>
      </c>
      <c r="Q22" s="6">
        <v>0.0477057046105944</v>
      </c>
      <c r="R22" s="6">
        <v>-0.250436880224242</v>
      </c>
      <c r="S22" s="6">
        <v>0.485254845701475</v>
      </c>
      <c r="T22" s="6">
        <v>0.148355701062863</v>
      </c>
      <c r="U22" s="6">
        <v>0.682520747814485</v>
      </c>
      <c r="V22" s="11" t="s">
        <v>14</v>
      </c>
      <c r="W22" s="6"/>
      <c r="X22" s="5" t="s">
        <v>15</v>
      </c>
      <c r="Y22" s="6">
        <v>0.0432913064271646</v>
      </c>
      <c r="Z22" s="6">
        <v>0.873517704357976</v>
      </c>
      <c r="AA22" s="6">
        <v>0.334503593075557</v>
      </c>
      <c r="AB22" s="6">
        <v>0.205390080809462</v>
      </c>
      <c r="AC22" s="6">
        <v>-0.0453973910188013</v>
      </c>
      <c r="AD22" s="6">
        <v>0.867413892195647</v>
      </c>
      <c r="AE22" s="6">
        <v>-0.0624216891320377</v>
      </c>
      <c r="AF22" s="6">
        <v>0.81835934076661</v>
      </c>
      <c r="AG22" s="6"/>
      <c r="AH22" s="6" t="s">
        <v>52</v>
      </c>
      <c r="AI22" s="6">
        <v>0.0854693561519627</v>
      </c>
      <c r="AJ22" s="6">
        <v>0.761997939491934</v>
      </c>
      <c r="AL22" s="15" t="s">
        <v>23</v>
      </c>
      <c r="AM22" s="1" t="s">
        <v>24</v>
      </c>
      <c r="AN22" s="1" t="s">
        <v>25</v>
      </c>
      <c r="AO22" s="1" t="s">
        <v>26</v>
      </c>
      <c r="AP22" s="1" t="s">
        <v>27</v>
      </c>
    </row>
    <row r="23" s="1" customFormat="1" spans="1:42">
      <c r="A23" s="2" t="s">
        <v>50</v>
      </c>
      <c r="B23" s="5" t="s">
        <v>11</v>
      </c>
      <c r="C23" s="6" t="s">
        <v>20</v>
      </c>
      <c r="D23" s="1">
        <v>56021</v>
      </c>
      <c r="E23" s="6">
        <v>-0.829736967287919</v>
      </c>
      <c r="F23" s="6">
        <v>0.170263032712081</v>
      </c>
      <c r="G23" s="6">
        <v>0.766133340255148</v>
      </c>
      <c r="H23" s="6">
        <v>0.233866659744851</v>
      </c>
      <c r="I23" s="6">
        <v>-0.318787970420402</v>
      </c>
      <c r="J23" s="6">
        <v>0.681212029579598</v>
      </c>
      <c r="K23" s="6">
        <v>-0.0584189867384576</v>
      </c>
      <c r="L23" s="6">
        <v>0.925660965453072</v>
      </c>
      <c r="M23" s="5" t="s">
        <v>13</v>
      </c>
      <c r="N23" s="6">
        <v>-0.609499111737377</v>
      </c>
      <c r="O23" s="6">
        <v>0.390500888262623</v>
      </c>
      <c r="P23" s="6">
        <v>0.969441051819583</v>
      </c>
      <c r="Q23" s="6">
        <v>0.0305589481804175</v>
      </c>
      <c r="R23" s="6">
        <v>0.977653752896545</v>
      </c>
      <c r="S23" s="6">
        <v>0.0223462471034546</v>
      </c>
      <c r="T23" s="6">
        <v>-0.969514709060966</v>
      </c>
      <c r="U23" s="6">
        <v>0.00636023873085355</v>
      </c>
      <c r="V23" s="11" t="s">
        <v>21</v>
      </c>
      <c r="W23" s="6"/>
      <c r="X23" s="5" t="s">
        <v>15</v>
      </c>
      <c r="Y23" s="6">
        <v>-0.595408028604086</v>
      </c>
      <c r="Z23" s="6">
        <v>0.0532792787683398</v>
      </c>
      <c r="AA23" s="6">
        <v>0.594493444868775</v>
      </c>
      <c r="AB23" s="6">
        <v>0.0537407437262205</v>
      </c>
      <c r="AC23" s="6">
        <v>0.514402251998266</v>
      </c>
      <c r="AD23" s="6">
        <v>0.105464898747452</v>
      </c>
      <c r="AE23" s="6">
        <v>-0.391172595352515</v>
      </c>
      <c r="AF23" s="6">
        <v>0.234196858500524</v>
      </c>
      <c r="AG23" s="6"/>
      <c r="AH23" s="6" t="s">
        <v>22</v>
      </c>
      <c r="AI23" s="6">
        <v>0.232691053781492</v>
      </c>
      <c r="AJ23" s="6">
        <v>0.517665004266174</v>
      </c>
      <c r="AL23" s="15" t="s">
        <v>30</v>
      </c>
      <c r="AM23" s="7">
        <v>0.631578947368421</v>
      </c>
      <c r="AN23" s="1">
        <v>0.0526315789473684</v>
      </c>
      <c r="AO23" s="7">
        <v>0.263157894736842</v>
      </c>
      <c r="AP23" s="1">
        <v>0.0526315789473684</v>
      </c>
    </row>
    <row r="24" s="1" customFormat="1" spans="1:42">
      <c r="A24" s="2" t="s">
        <v>50</v>
      </c>
      <c r="B24" s="5" t="s">
        <v>11</v>
      </c>
      <c r="C24" s="6" t="s">
        <v>53</v>
      </c>
      <c r="D24" s="1">
        <v>56021</v>
      </c>
      <c r="E24" s="6">
        <v>0.605056471562865</v>
      </c>
      <c r="F24" s="6">
        <v>0.394943528437135</v>
      </c>
      <c r="G24" s="6">
        <v>0.228732954836917</v>
      </c>
      <c r="H24" s="6">
        <v>0.771267045163083</v>
      </c>
      <c r="I24" s="6">
        <v>0.394754420439593</v>
      </c>
      <c r="J24" s="6">
        <v>0.605245579560407</v>
      </c>
      <c r="K24" s="6">
        <v>-0.470471454939731</v>
      </c>
      <c r="L24" s="6">
        <v>0.423874289708769</v>
      </c>
      <c r="M24" s="5" t="s">
        <v>13</v>
      </c>
      <c r="N24" s="6">
        <v>-0.237226627563439</v>
      </c>
      <c r="O24" s="6">
        <v>0.762773372436561</v>
      </c>
      <c r="P24" s="6">
        <v>-0.0605635125866357</v>
      </c>
      <c r="Q24" s="6">
        <v>0.939436487413364</v>
      </c>
      <c r="R24" s="6">
        <v>-0.248695372772492</v>
      </c>
      <c r="S24" s="6">
        <v>0.751304627227508</v>
      </c>
      <c r="T24" s="6">
        <v>0.0336452662685898</v>
      </c>
      <c r="U24" s="6">
        <v>0.957169600088644</v>
      </c>
      <c r="V24" s="11" t="s">
        <v>18</v>
      </c>
      <c r="W24" s="6"/>
      <c r="X24" s="5" t="s">
        <v>15</v>
      </c>
      <c r="Y24" s="6">
        <v>0.320946508632229</v>
      </c>
      <c r="Z24" s="6">
        <v>0.335882621232142</v>
      </c>
      <c r="AA24" s="6">
        <v>0.228480517080945</v>
      </c>
      <c r="AB24" s="6">
        <v>0.499202433682815</v>
      </c>
      <c r="AC24" s="6">
        <v>-0.456246152319522</v>
      </c>
      <c r="AD24" s="6">
        <v>0.158390075262908</v>
      </c>
      <c r="AE24" s="6">
        <v>-0.399027976636598</v>
      </c>
      <c r="AF24" s="6">
        <v>0.224099693655563</v>
      </c>
      <c r="AG24" s="6"/>
      <c r="AH24" s="6" t="s">
        <v>54</v>
      </c>
      <c r="AI24" s="6">
        <v>-0.189698880976734</v>
      </c>
      <c r="AJ24" s="6">
        <v>0.599646878011009</v>
      </c>
      <c r="AL24" s="15" t="s">
        <v>33</v>
      </c>
      <c r="AM24" s="7">
        <v>0.631578947368421</v>
      </c>
      <c r="AN24" s="1">
        <v>0.210526315789474</v>
      </c>
      <c r="AO24" s="7">
        <v>0.105263157894737</v>
      </c>
      <c r="AP24" s="1">
        <v>0.0526315789473684</v>
      </c>
    </row>
    <row r="25" s="1" customFormat="1" spans="1:42">
      <c r="A25" s="2" t="s">
        <v>50</v>
      </c>
      <c r="B25" s="5" t="s">
        <v>11</v>
      </c>
      <c r="C25" s="6" t="s">
        <v>55</v>
      </c>
      <c r="D25" s="1">
        <v>56021</v>
      </c>
      <c r="E25" s="6">
        <v>0.592964240572641</v>
      </c>
      <c r="F25" s="6">
        <v>0.407035759427359</v>
      </c>
      <c r="G25" s="6">
        <v>-0.508605697193608</v>
      </c>
      <c r="H25" s="6">
        <v>0.491394302806392</v>
      </c>
      <c r="I25" s="6">
        <v>0.863594911449824</v>
      </c>
      <c r="J25" s="6">
        <v>0.136405088550175</v>
      </c>
      <c r="K25" s="6">
        <v>-0.540408617735785</v>
      </c>
      <c r="L25" s="6">
        <v>0.347067514636577</v>
      </c>
      <c r="M25" s="5" t="s">
        <v>13</v>
      </c>
      <c r="N25" s="6">
        <v>0.929630048987949</v>
      </c>
      <c r="O25" s="6">
        <v>0.070369951012051</v>
      </c>
      <c r="P25" s="6">
        <v>0.285514034006546</v>
      </c>
      <c r="Q25" s="6">
        <v>0.714485965993454</v>
      </c>
      <c r="R25" s="6">
        <v>0.237789035308709</v>
      </c>
      <c r="S25" s="6">
        <v>0.762210964691291</v>
      </c>
      <c r="T25" s="6">
        <v>-0.356042706489843</v>
      </c>
      <c r="U25" s="6">
        <v>0.556441047706853</v>
      </c>
      <c r="V25" s="11" t="s">
        <v>14</v>
      </c>
      <c r="W25" s="6"/>
      <c r="X25" s="5" t="s">
        <v>15</v>
      </c>
      <c r="Y25" s="6">
        <v>-0.259168278531263</v>
      </c>
      <c r="Z25" s="6">
        <v>0.441560760270712</v>
      </c>
      <c r="AA25" s="6">
        <v>0.553883934198968</v>
      </c>
      <c r="AB25" s="6">
        <v>0.0770787105759907</v>
      </c>
      <c r="AC25" s="6">
        <v>-0.203679395590888</v>
      </c>
      <c r="AD25" s="6">
        <v>0.548039582680896</v>
      </c>
      <c r="AE25" s="6">
        <v>-0.308692723750043</v>
      </c>
      <c r="AF25" s="6">
        <v>0.3556810915361</v>
      </c>
      <c r="AG25" s="6"/>
      <c r="AH25" s="6" t="s">
        <v>56</v>
      </c>
      <c r="AI25" s="6">
        <v>0.515144614050087</v>
      </c>
      <c r="AJ25" s="6">
        <v>0.127558854633561</v>
      </c>
      <c r="AL25" s="15" t="s">
        <v>4</v>
      </c>
      <c r="AM25" s="1">
        <v>0.631578947368421</v>
      </c>
      <c r="AN25" s="7">
        <v>0</v>
      </c>
      <c r="AO25" s="7">
        <v>0.315789473684211</v>
      </c>
      <c r="AP25" s="1">
        <v>0.0526315789473684</v>
      </c>
    </row>
    <row r="26" s="1" customFormat="1" spans="1:42">
      <c r="A26" s="2" t="s">
        <v>50</v>
      </c>
      <c r="B26" s="5" t="s">
        <v>11</v>
      </c>
      <c r="C26" s="6" t="s">
        <v>34</v>
      </c>
      <c r="D26" s="1">
        <v>56021</v>
      </c>
      <c r="E26" s="6">
        <v>-0.561086051860826</v>
      </c>
      <c r="F26" s="6">
        <v>0.438913948139174</v>
      </c>
      <c r="G26" s="6">
        <v>0.460584811966246</v>
      </c>
      <c r="H26" s="6">
        <v>0.539415188033754</v>
      </c>
      <c r="I26" s="6">
        <v>-0.72135810906688</v>
      </c>
      <c r="J26" s="6">
        <v>0.27864189093312</v>
      </c>
      <c r="K26" s="6">
        <v>0.311663552637623</v>
      </c>
      <c r="L26" s="6">
        <v>0.60969881900235</v>
      </c>
      <c r="M26" s="5" t="s">
        <v>13</v>
      </c>
      <c r="N26" s="6">
        <v>-0.576247990068254</v>
      </c>
      <c r="O26" s="6">
        <v>0.423752009931746</v>
      </c>
      <c r="P26" s="6">
        <v>0.924845479061763</v>
      </c>
      <c r="Q26" s="6">
        <v>0.0751545209382366</v>
      </c>
      <c r="R26" s="6">
        <v>0.659278490058785</v>
      </c>
      <c r="S26" s="6">
        <v>0.340721509941215</v>
      </c>
      <c r="T26" s="6">
        <v>-0.459572073957924</v>
      </c>
      <c r="U26" s="6">
        <v>0.436159951277337</v>
      </c>
      <c r="V26" s="11" t="s">
        <v>21</v>
      </c>
      <c r="W26" s="6"/>
      <c r="X26" s="5" t="s">
        <v>15</v>
      </c>
      <c r="Y26" s="6">
        <v>-0.316313049360611</v>
      </c>
      <c r="Z26" s="6">
        <v>0.343299090143322</v>
      </c>
      <c r="AA26" s="6">
        <v>0.460993454958004</v>
      </c>
      <c r="AB26" s="6">
        <v>0.153553635148428</v>
      </c>
      <c r="AC26" s="6">
        <v>0.0724509561469424</v>
      </c>
      <c r="AD26" s="6">
        <v>0.832347941936741</v>
      </c>
      <c r="AE26" s="6">
        <v>-0.339053323410627</v>
      </c>
      <c r="AF26" s="6">
        <v>0.307725475539299</v>
      </c>
      <c r="AG26" s="6"/>
      <c r="AH26" s="6" t="s">
        <v>35</v>
      </c>
      <c r="AI26" s="6">
        <v>0.290403100492284</v>
      </c>
      <c r="AJ26" s="6">
        <v>0.415660520367549</v>
      </c>
      <c r="AL26" s="15" t="s">
        <v>5</v>
      </c>
      <c r="AM26" s="1">
        <v>0.263157894736842</v>
      </c>
      <c r="AN26" s="7">
        <v>0</v>
      </c>
      <c r="AO26" s="1">
        <v>0.684210526315789</v>
      </c>
      <c r="AP26" s="1">
        <v>0.0526315789473684</v>
      </c>
    </row>
    <row r="27" s="1" customFormat="1" spans="1:43">
      <c r="A27" s="2" t="s">
        <v>50</v>
      </c>
      <c r="B27" s="5" t="s">
        <v>11</v>
      </c>
      <c r="C27" s="6" t="s">
        <v>57</v>
      </c>
      <c r="D27" s="1">
        <v>56021</v>
      </c>
      <c r="E27" s="6">
        <v>0.931688232169324</v>
      </c>
      <c r="F27" s="6">
        <v>0.0683117678306758</v>
      </c>
      <c r="G27" s="6">
        <v>-0.23480462830823</v>
      </c>
      <c r="H27" s="6">
        <v>0.76519537169177</v>
      </c>
      <c r="I27" s="6">
        <v>-0.549007666592134</v>
      </c>
      <c r="J27" s="6">
        <v>0.450992333407866</v>
      </c>
      <c r="K27" s="6">
        <v>0.569318268555212</v>
      </c>
      <c r="L27" s="6">
        <v>0.316446882958334</v>
      </c>
      <c r="M27" s="5" t="s">
        <v>13</v>
      </c>
      <c r="N27" s="6">
        <v>0.275247543718595</v>
      </c>
      <c r="O27" s="6">
        <v>0.724752456281405</v>
      </c>
      <c r="P27" s="6">
        <v>0.225092579813607</v>
      </c>
      <c r="Q27" s="6">
        <v>0.774907420186393</v>
      </c>
      <c r="R27" s="6">
        <v>-0.567866374360924</v>
      </c>
      <c r="S27" s="6">
        <v>0.432133625639076</v>
      </c>
      <c r="T27" s="6">
        <v>0.303411518975755</v>
      </c>
      <c r="U27" s="6">
        <v>0.619696397146432</v>
      </c>
      <c r="V27" s="11" t="s">
        <v>18</v>
      </c>
      <c r="W27" s="6"/>
      <c r="X27" s="5" t="s">
        <v>15</v>
      </c>
      <c r="Y27" s="6">
        <v>0.0935867459814044</v>
      </c>
      <c r="Z27" s="6">
        <v>0.78432231834547</v>
      </c>
      <c r="AA27" s="6">
        <v>0.414181339153624</v>
      </c>
      <c r="AB27" s="6">
        <v>0.205356768530512</v>
      </c>
      <c r="AC27" s="6">
        <v>0.0962789973728637</v>
      </c>
      <c r="AD27" s="6">
        <v>0.778249702968962</v>
      </c>
      <c r="AE27" s="6">
        <v>-0.332825133750696</v>
      </c>
      <c r="AF27" s="6">
        <v>0.317261397990985</v>
      </c>
      <c r="AG27" s="6"/>
      <c r="AH27" s="6" t="s">
        <v>58</v>
      </c>
      <c r="AI27" s="6">
        <v>0.553172761397705</v>
      </c>
      <c r="AJ27" s="6">
        <v>0.0971843521978024</v>
      </c>
      <c r="AL27" s="1" t="s">
        <v>40</v>
      </c>
      <c r="AM27" s="7">
        <v>0.684210526315789</v>
      </c>
      <c r="AN27" s="1">
        <v>0.105263157894737</v>
      </c>
      <c r="AO27" s="1">
        <v>0.210526315789474</v>
      </c>
      <c r="AP27" s="1">
        <v>0</v>
      </c>
      <c r="AQ27" s="1">
        <f>AM27+AN27</f>
        <v>0.789473684210526</v>
      </c>
    </row>
    <row r="28" s="1" customFormat="1" spans="1:39">
      <c r="A28" s="2" t="s">
        <v>50</v>
      </c>
      <c r="B28" s="5" t="s">
        <v>11</v>
      </c>
      <c r="C28" s="6" t="s">
        <v>59</v>
      </c>
      <c r="D28" s="1">
        <v>56021</v>
      </c>
      <c r="E28" s="6">
        <v>0.840784155587846</v>
      </c>
      <c r="F28" s="6">
        <v>0.159215844412154</v>
      </c>
      <c r="G28" s="6">
        <v>0.955072170875773</v>
      </c>
      <c r="H28" s="6">
        <v>0.044927829124227</v>
      </c>
      <c r="I28" s="6">
        <v>0.938305178000231</v>
      </c>
      <c r="J28" s="6">
        <v>0.061694821999769</v>
      </c>
      <c r="K28" s="6">
        <v>-0.477333743904995</v>
      </c>
      <c r="L28" s="6">
        <v>0.416180413867685</v>
      </c>
      <c r="M28" s="5" t="s">
        <v>13</v>
      </c>
      <c r="N28" s="6">
        <v>0.861489206112348</v>
      </c>
      <c r="O28" s="6">
        <v>0.138510793887652</v>
      </c>
      <c r="P28" s="6">
        <v>0.356307541513821</v>
      </c>
      <c r="Q28" s="6">
        <v>0.643692458486179</v>
      </c>
      <c r="R28" s="6">
        <v>0.114419722699269</v>
      </c>
      <c r="S28" s="6">
        <v>0.885580277300731</v>
      </c>
      <c r="T28" s="6">
        <v>-0.0637407206107972</v>
      </c>
      <c r="U28" s="6">
        <v>0.91889778277297</v>
      </c>
      <c r="V28" s="11" t="s">
        <v>14</v>
      </c>
      <c r="W28" s="6"/>
      <c r="X28" s="5" t="s">
        <v>15</v>
      </c>
      <c r="Y28" s="6">
        <v>-0.0187068880481489</v>
      </c>
      <c r="Z28" s="6">
        <v>0.956464223447582</v>
      </c>
      <c r="AA28" s="6">
        <v>0.53450784866909</v>
      </c>
      <c r="AB28" s="6">
        <v>0.0902778267401987</v>
      </c>
      <c r="AC28" s="6">
        <v>-0.342179914446595</v>
      </c>
      <c r="AD28" s="6">
        <v>0.302997864578866</v>
      </c>
      <c r="AE28" s="6">
        <v>-0.449113035249596</v>
      </c>
      <c r="AF28" s="6">
        <v>0.165833004805889</v>
      </c>
      <c r="AG28" s="6"/>
      <c r="AH28" s="6" t="s">
        <v>60</v>
      </c>
      <c r="AI28" s="6">
        <v>0.652069873295839</v>
      </c>
      <c r="AJ28" s="6">
        <v>0.041032524790873</v>
      </c>
      <c r="AL28" s="6"/>
      <c r="AM28" s="6"/>
    </row>
    <row r="29" s="1" customFormat="1" spans="1:39">
      <c r="A29" s="2" t="s">
        <v>50</v>
      </c>
      <c r="B29" s="5" t="s">
        <v>11</v>
      </c>
      <c r="C29" s="6" t="s">
        <v>17</v>
      </c>
      <c r="D29" s="1">
        <v>56045</v>
      </c>
      <c r="E29" s="6">
        <v>0.522083440801227</v>
      </c>
      <c r="F29" s="6">
        <v>0.477916559198773</v>
      </c>
      <c r="G29" s="6">
        <v>-0.560265985884147</v>
      </c>
      <c r="H29" s="6">
        <v>0.439734014115853</v>
      </c>
      <c r="I29" s="6">
        <v>0.897975476379288</v>
      </c>
      <c r="J29" s="6">
        <v>0.102024523620712</v>
      </c>
      <c r="K29" s="6">
        <v>-0.152814588620301</v>
      </c>
      <c r="L29" s="6">
        <v>0.806190372223083</v>
      </c>
      <c r="M29" s="5" t="s">
        <v>13</v>
      </c>
      <c r="N29" s="6">
        <v>0.901646997960298</v>
      </c>
      <c r="O29" s="6">
        <v>0.0983530020397018</v>
      </c>
      <c r="P29" s="6">
        <v>0.935046859824022</v>
      </c>
      <c r="Q29" s="6">
        <v>0.0649531401759776</v>
      </c>
      <c r="R29" s="6">
        <v>-0.682487413774548</v>
      </c>
      <c r="S29" s="6">
        <v>0.317512586225452</v>
      </c>
      <c r="T29" s="6">
        <v>0.854912609643177</v>
      </c>
      <c r="U29" s="6">
        <v>0.064877416763488</v>
      </c>
      <c r="V29" s="11" t="s">
        <v>18</v>
      </c>
      <c r="W29" s="6"/>
      <c r="X29" s="5" t="s">
        <v>15</v>
      </c>
      <c r="Y29" s="6">
        <v>0.38196340963302</v>
      </c>
      <c r="Z29" s="6">
        <v>0.276057356417643</v>
      </c>
      <c r="AA29" s="6">
        <v>0.266193622630489</v>
      </c>
      <c r="AB29" s="6">
        <v>0.457237931412311</v>
      </c>
      <c r="AC29" s="6">
        <v>0.19043066786727</v>
      </c>
      <c r="AD29" s="6">
        <v>0.598213385924968</v>
      </c>
      <c r="AE29" s="6">
        <v>-0.290801357622502</v>
      </c>
      <c r="AF29" s="6">
        <v>0.414991932793381</v>
      </c>
      <c r="AG29" s="6"/>
      <c r="AH29" s="6" t="s">
        <v>19</v>
      </c>
      <c r="AI29" s="6">
        <v>0.303968657145642</v>
      </c>
      <c r="AJ29" s="6">
        <v>0.426479571822431</v>
      </c>
      <c r="AL29" s="6"/>
      <c r="AM29" s="6"/>
    </row>
    <row r="30" s="1" customFormat="1" spans="1:39">
      <c r="A30" s="2" t="s">
        <v>50</v>
      </c>
      <c r="B30" s="5" t="s">
        <v>11</v>
      </c>
      <c r="C30" s="6" t="s">
        <v>20</v>
      </c>
      <c r="D30" s="1">
        <v>56045</v>
      </c>
      <c r="E30" s="6">
        <v>-0.104858360871954</v>
      </c>
      <c r="F30" s="6">
        <v>0.895141639128046</v>
      </c>
      <c r="G30" s="6">
        <v>-0.4419438099983</v>
      </c>
      <c r="H30" s="6">
        <v>0.5580561900017</v>
      </c>
      <c r="I30" s="6">
        <v>-0.928808509079196</v>
      </c>
      <c r="J30" s="6">
        <v>0.0711914909208039</v>
      </c>
      <c r="K30" s="6">
        <v>0.654061313885021</v>
      </c>
      <c r="L30" s="6">
        <v>0.23115418937839</v>
      </c>
      <c r="M30" s="5" t="s">
        <v>13</v>
      </c>
      <c r="N30" s="6">
        <v>0.680085499385941</v>
      </c>
      <c r="O30" s="6">
        <v>0.319914500614059</v>
      </c>
      <c r="P30" s="6">
        <v>-0.491209694883812</v>
      </c>
      <c r="Q30" s="6">
        <v>0.508790305116188</v>
      </c>
      <c r="R30" s="6">
        <v>-0.352925461180401</v>
      </c>
      <c r="S30" s="6">
        <v>0.647074538819599</v>
      </c>
      <c r="T30" s="6">
        <v>-0.543103301202128</v>
      </c>
      <c r="U30" s="6">
        <v>0.344183656824333</v>
      </c>
      <c r="V30" s="11" t="s">
        <v>21</v>
      </c>
      <c r="W30" s="6"/>
      <c r="X30" s="5" t="s">
        <v>15</v>
      </c>
      <c r="Y30" s="6">
        <v>0.508009968571182</v>
      </c>
      <c r="Z30" s="6">
        <v>0.133839470152244</v>
      </c>
      <c r="AA30" s="6">
        <v>-0.68583587885089</v>
      </c>
      <c r="AB30" s="6">
        <v>0.0285606766042909</v>
      </c>
      <c r="AC30" s="6">
        <v>-0.766946645972777</v>
      </c>
      <c r="AD30" s="6">
        <v>0.00963564822700854</v>
      </c>
      <c r="AE30" s="6">
        <v>-0.686539983349606</v>
      </c>
      <c r="AF30" s="6">
        <v>0.0283324783608829</v>
      </c>
      <c r="AG30" s="6"/>
      <c r="AH30" s="6" t="s">
        <v>22</v>
      </c>
      <c r="AI30" s="6">
        <v>-0.39647286946055</v>
      </c>
      <c r="AJ30" s="6">
        <v>0.290771344491707</v>
      </c>
      <c r="AL30" s="6"/>
      <c r="AM30" s="6"/>
    </row>
    <row r="31" s="1" customFormat="1" spans="1:39">
      <c r="A31" s="2" t="s">
        <v>50</v>
      </c>
      <c r="B31" s="5" t="s">
        <v>11</v>
      </c>
      <c r="C31" s="6" t="s">
        <v>61</v>
      </c>
      <c r="D31" s="1">
        <v>56045</v>
      </c>
      <c r="E31" s="6">
        <v>0.648548795766487</v>
      </c>
      <c r="F31" s="6">
        <v>0.351451204233513</v>
      </c>
      <c r="G31" s="6">
        <v>-0.293543622714889</v>
      </c>
      <c r="H31" s="6">
        <v>0.70645637728511</v>
      </c>
      <c r="I31" s="6">
        <v>0.371681295757827</v>
      </c>
      <c r="J31" s="6">
        <v>0.628318704242173</v>
      </c>
      <c r="K31" s="6">
        <v>-0.00386951615436256</v>
      </c>
      <c r="L31" s="6">
        <v>0.995073191308311</v>
      </c>
      <c r="M31" s="5" t="s">
        <v>13</v>
      </c>
      <c r="N31" s="6">
        <v>0.38564833136814</v>
      </c>
      <c r="O31" s="6">
        <v>0.61435166863186</v>
      </c>
      <c r="P31" s="6">
        <v>0.576800289944868</v>
      </c>
      <c r="Q31" s="6">
        <v>0.423199710055132</v>
      </c>
      <c r="R31" s="6">
        <v>0.0273196484834228</v>
      </c>
      <c r="S31" s="6">
        <v>0.972680351516577</v>
      </c>
      <c r="T31" s="6">
        <v>0.764295307764861</v>
      </c>
      <c r="U31" s="6">
        <v>0.13240424951974</v>
      </c>
      <c r="V31" s="11" t="s">
        <v>14</v>
      </c>
      <c r="W31" s="6"/>
      <c r="X31" s="5" t="s">
        <v>15</v>
      </c>
      <c r="Y31" s="6">
        <v>0.433649476929884</v>
      </c>
      <c r="Z31" s="6">
        <v>0.210552853753192</v>
      </c>
      <c r="AA31" s="6">
        <v>0.207048857541187</v>
      </c>
      <c r="AB31" s="6">
        <v>0.566002609077469</v>
      </c>
      <c r="AC31" s="6">
        <v>0.304715835556286</v>
      </c>
      <c r="AD31" s="6">
        <v>0.391954083889104</v>
      </c>
      <c r="AE31" s="6">
        <v>-0.351181765526172</v>
      </c>
      <c r="AF31" s="6">
        <v>0.319727388129503</v>
      </c>
      <c r="AG31" s="6"/>
      <c r="AH31" s="6" t="s">
        <v>62</v>
      </c>
      <c r="AI31" s="6">
        <v>0.692323812524143</v>
      </c>
      <c r="AJ31" s="6">
        <v>0.038751305097708</v>
      </c>
      <c r="AL31" s="6"/>
      <c r="AM31" s="6"/>
    </row>
    <row r="32" s="1" customFormat="1" spans="1:39">
      <c r="A32" s="2" t="s">
        <v>50</v>
      </c>
      <c r="B32" s="5" t="s">
        <v>11</v>
      </c>
      <c r="C32" s="6" t="s">
        <v>63</v>
      </c>
      <c r="D32" s="1">
        <v>56045</v>
      </c>
      <c r="E32" s="6">
        <v>0.245583298059807</v>
      </c>
      <c r="F32" s="6">
        <v>0.754416701940193</v>
      </c>
      <c r="G32" s="6">
        <v>-0.938341348298314</v>
      </c>
      <c r="H32" s="6">
        <v>0.0616586517016857</v>
      </c>
      <c r="I32" s="6">
        <v>-0.923286264449674</v>
      </c>
      <c r="J32" s="6">
        <v>0.0767137355503264</v>
      </c>
      <c r="K32" s="6">
        <v>0.438077868037401</v>
      </c>
      <c r="L32" s="6">
        <v>0.460615146892174</v>
      </c>
      <c r="M32" s="5" t="s">
        <v>13</v>
      </c>
      <c r="N32" s="6">
        <v>0.144888897253148</v>
      </c>
      <c r="O32" s="6">
        <v>0.855111102746852</v>
      </c>
      <c r="P32" s="6">
        <v>0.817798622352307</v>
      </c>
      <c r="Q32" s="6">
        <v>0.182201377647693</v>
      </c>
      <c r="R32" s="6">
        <v>0.705424728970643</v>
      </c>
      <c r="S32" s="6">
        <v>0.294575271029357</v>
      </c>
      <c r="T32" s="6">
        <v>-0.082090596806883</v>
      </c>
      <c r="U32" s="6">
        <v>0.895596517008317</v>
      </c>
      <c r="V32" s="11" t="s">
        <v>21</v>
      </c>
      <c r="W32" s="6"/>
      <c r="X32" s="5" t="s">
        <v>15</v>
      </c>
      <c r="Y32" s="6">
        <v>0.27446635281498</v>
      </c>
      <c r="Z32" s="6">
        <v>0.44282605336053</v>
      </c>
      <c r="AA32" s="6">
        <v>-0.263060624614798</v>
      </c>
      <c r="AB32" s="6">
        <v>0.462750038918206</v>
      </c>
      <c r="AC32" s="6">
        <v>-0.0949432800564835</v>
      </c>
      <c r="AD32" s="6">
        <v>0.794173621505897</v>
      </c>
      <c r="AE32" s="6">
        <v>-0.181985390282224</v>
      </c>
      <c r="AF32" s="6">
        <v>0.614831353267313</v>
      </c>
      <c r="AG32" s="6"/>
      <c r="AH32" s="6" t="s">
        <v>64</v>
      </c>
      <c r="AI32" s="6">
        <v>0.434732647385591</v>
      </c>
      <c r="AJ32" s="6">
        <v>0.242260745503613</v>
      </c>
      <c r="AL32" s="6"/>
      <c r="AM32" s="6"/>
    </row>
    <row r="33" s="1" customFormat="1" spans="1:39">
      <c r="A33" s="2" t="s">
        <v>50</v>
      </c>
      <c r="B33" s="5" t="s">
        <v>11</v>
      </c>
      <c r="C33" s="6" t="s">
        <v>34</v>
      </c>
      <c r="D33" s="1">
        <v>56045</v>
      </c>
      <c r="E33" s="6">
        <v>0.391832667867142</v>
      </c>
      <c r="F33" s="6">
        <v>0.608167332132858</v>
      </c>
      <c r="G33" s="6">
        <v>0.44624611141878</v>
      </c>
      <c r="H33" s="6">
        <v>0.55375388858122</v>
      </c>
      <c r="I33" s="6">
        <v>-0.686504118981778</v>
      </c>
      <c r="J33" s="6">
        <v>0.313495881018222</v>
      </c>
      <c r="K33" s="6">
        <v>0.913336835574287</v>
      </c>
      <c r="L33" s="6">
        <v>0.0302244238283794</v>
      </c>
      <c r="M33" s="5" t="s">
        <v>13</v>
      </c>
      <c r="N33" s="6">
        <v>0.955363335656944</v>
      </c>
      <c r="O33" s="6">
        <v>0.044636664343056</v>
      </c>
      <c r="P33" s="6">
        <v>-0.897528254597571</v>
      </c>
      <c r="Q33" s="6">
        <v>0.102471745402429</v>
      </c>
      <c r="R33" s="6">
        <v>0.0855775953616345</v>
      </c>
      <c r="S33" s="6">
        <v>0.914422404638366</v>
      </c>
      <c r="T33" s="6">
        <v>-0.354563766917641</v>
      </c>
      <c r="U33" s="6">
        <v>0.558201225262978</v>
      </c>
      <c r="V33" s="11" t="s">
        <v>21</v>
      </c>
      <c r="W33" s="6"/>
      <c r="X33" s="5" t="s">
        <v>15</v>
      </c>
      <c r="Y33" s="6">
        <v>0.684433923410747</v>
      </c>
      <c r="Z33" s="6">
        <v>0.029018777230521</v>
      </c>
      <c r="AA33" s="6">
        <v>-0.324296295981484</v>
      </c>
      <c r="AB33" s="6">
        <v>0.360618074941573</v>
      </c>
      <c r="AC33" s="6">
        <v>0.400394539085365</v>
      </c>
      <c r="AD33" s="6">
        <v>0.251560752632255</v>
      </c>
      <c r="AE33" s="6">
        <v>0.171669764048996</v>
      </c>
      <c r="AF33" s="6">
        <v>0.635345063738029</v>
      </c>
      <c r="AG33" s="6"/>
      <c r="AH33" s="6" t="s">
        <v>35</v>
      </c>
      <c r="AI33" s="6">
        <v>-0.0937269259504293</v>
      </c>
      <c r="AJ33" s="6">
        <v>0.810453344640982</v>
      </c>
      <c r="AL33" s="6"/>
      <c r="AM33" s="6"/>
    </row>
    <row r="34" s="1" customFormat="1" spans="1:39">
      <c r="A34" s="2" t="s">
        <v>50</v>
      </c>
      <c r="B34" s="5" t="s">
        <v>11</v>
      </c>
      <c r="C34" s="6" t="s">
        <v>36</v>
      </c>
      <c r="D34" s="1">
        <v>56045</v>
      </c>
      <c r="E34" s="6">
        <v>0.0589134727739101</v>
      </c>
      <c r="F34" s="6">
        <v>0.94108652722609</v>
      </c>
      <c r="G34" s="6">
        <v>-0.961407483965913</v>
      </c>
      <c r="H34" s="6">
        <v>0.0385925160340872</v>
      </c>
      <c r="I34" s="6">
        <v>-0.89301327743883</v>
      </c>
      <c r="J34" s="6">
        <v>0.10698672256117</v>
      </c>
      <c r="K34" s="6">
        <v>-0.110831066030539</v>
      </c>
      <c r="L34" s="6">
        <v>0.859174935840156</v>
      </c>
      <c r="M34" s="5" t="s">
        <v>13</v>
      </c>
      <c r="N34" s="6">
        <v>-0.562059687261673</v>
      </c>
      <c r="O34" s="6">
        <v>0.437940312738327</v>
      </c>
      <c r="P34" s="6">
        <v>0.789869103940345</v>
      </c>
      <c r="Q34" s="6">
        <v>0.210130896059655</v>
      </c>
      <c r="R34" s="6">
        <v>-0.11483511859128</v>
      </c>
      <c r="S34" s="6">
        <v>0.88516488140872</v>
      </c>
      <c r="T34" s="6">
        <v>0.822242017416894</v>
      </c>
      <c r="U34" s="6">
        <v>0.0875275439542167</v>
      </c>
      <c r="V34" s="11" t="s">
        <v>14</v>
      </c>
      <c r="W34" s="6"/>
      <c r="X34" s="5" t="s">
        <v>15</v>
      </c>
      <c r="Y34" s="6">
        <v>0.466953062182327</v>
      </c>
      <c r="Z34" s="6">
        <v>0.17363890039628</v>
      </c>
      <c r="AA34" s="6">
        <v>0.0220258731156979</v>
      </c>
      <c r="AB34" s="6">
        <v>0.951841770532355</v>
      </c>
      <c r="AC34" s="6">
        <v>0.461387973146338</v>
      </c>
      <c r="AD34" s="6">
        <v>0.179517520436598</v>
      </c>
      <c r="AE34" s="6">
        <v>-0.382337956677015</v>
      </c>
      <c r="AF34" s="6">
        <v>0.275547123679806</v>
      </c>
      <c r="AG34" s="6"/>
      <c r="AH34" s="6" t="s">
        <v>37</v>
      </c>
      <c r="AI34" s="6">
        <v>0.33410870458532</v>
      </c>
      <c r="AJ34" s="6">
        <v>0.379537357111985</v>
      </c>
      <c r="AL34" s="6"/>
      <c r="AM34" s="6"/>
    </row>
    <row r="35" s="1" customFormat="1" spans="1:39">
      <c r="A35" s="2" t="s">
        <v>50</v>
      </c>
      <c r="B35" s="5" t="s">
        <v>11</v>
      </c>
      <c r="C35" s="6" t="s">
        <v>59</v>
      </c>
      <c r="D35" s="1">
        <v>56045</v>
      </c>
      <c r="E35" s="6">
        <v>0.365586764968228</v>
      </c>
      <c r="F35" s="6">
        <v>0.634413235031772</v>
      </c>
      <c r="G35" s="6">
        <v>-0.215161370302684</v>
      </c>
      <c r="H35" s="6">
        <v>0.784838629697316</v>
      </c>
      <c r="I35" s="6">
        <v>0.102562865047891</v>
      </c>
      <c r="J35" s="6">
        <v>0.897437134952109</v>
      </c>
      <c r="K35" s="6">
        <v>-0.0457298560686343</v>
      </c>
      <c r="L35" s="6">
        <v>0.941795238815031</v>
      </c>
      <c r="M35" s="5" t="s">
        <v>13</v>
      </c>
      <c r="N35" s="6">
        <v>-0.137176378084839</v>
      </c>
      <c r="O35" s="6">
        <v>0.862823621915161</v>
      </c>
      <c r="P35" s="6">
        <v>-0.227447232533482</v>
      </c>
      <c r="Q35" s="6">
        <v>0.772552767466518</v>
      </c>
      <c r="R35" s="6">
        <v>-0.76589126151655</v>
      </c>
      <c r="S35" s="6">
        <v>0.23410873848345</v>
      </c>
      <c r="T35" s="6">
        <v>0.777343025416409</v>
      </c>
      <c r="U35" s="6">
        <v>0.121821409865269</v>
      </c>
      <c r="V35" s="11" t="s">
        <v>14</v>
      </c>
      <c r="W35" s="6"/>
      <c r="X35" s="5" t="s">
        <v>15</v>
      </c>
      <c r="Y35" s="6">
        <v>0.467463600948797</v>
      </c>
      <c r="Z35" s="6">
        <v>0.173105412686502</v>
      </c>
      <c r="AA35" s="6">
        <v>0.182903387354231</v>
      </c>
      <c r="AB35" s="6">
        <v>0.613017160793011</v>
      </c>
      <c r="AC35" s="6">
        <v>0.322459887364191</v>
      </c>
      <c r="AD35" s="6">
        <v>0.363502153959168</v>
      </c>
      <c r="AE35" s="6">
        <v>-0.351356748048071</v>
      </c>
      <c r="AF35" s="6">
        <v>0.319469541262788</v>
      </c>
      <c r="AG35" s="6"/>
      <c r="AH35" s="6" t="s">
        <v>60</v>
      </c>
      <c r="AI35" s="6">
        <v>0.0588775837364426</v>
      </c>
      <c r="AJ35" s="6">
        <v>0.880401527496774</v>
      </c>
      <c r="AL35" s="6"/>
      <c r="AM35" s="6"/>
    </row>
    <row r="36" s="1" customFormat="1" spans="1:39">
      <c r="A36" s="2" t="s">
        <v>50</v>
      </c>
      <c r="B36" s="5" t="s">
        <v>11</v>
      </c>
      <c r="C36" s="6" t="s">
        <v>20</v>
      </c>
      <c r="D36" s="1">
        <v>56065</v>
      </c>
      <c r="E36" s="6">
        <v>0.6781712254956</v>
      </c>
      <c r="F36" s="6">
        <v>0.0940197134542301</v>
      </c>
      <c r="G36" s="6">
        <v>0.530234084849209</v>
      </c>
      <c r="H36" s="6">
        <v>0.220853281348522</v>
      </c>
      <c r="I36" s="6">
        <v>0.257403690610107</v>
      </c>
      <c r="J36" s="6">
        <v>0.577349377384544</v>
      </c>
      <c r="K36" s="6">
        <v>-0.149349512215333</v>
      </c>
      <c r="L36" s="6">
        <v>0.724105902919022</v>
      </c>
      <c r="M36" s="5" t="s">
        <v>13</v>
      </c>
      <c r="N36" s="6">
        <v>-0.102715120693813</v>
      </c>
      <c r="O36" s="6">
        <v>0.826543798320005</v>
      </c>
      <c r="P36" s="6">
        <v>0.358580636409849</v>
      </c>
      <c r="Q36" s="6">
        <v>0.429624035227935</v>
      </c>
      <c r="R36" s="6">
        <v>0.392714346003262</v>
      </c>
      <c r="S36" s="6">
        <v>0.383505411902344</v>
      </c>
      <c r="T36" s="6">
        <v>-0.186154533560231</v>
      </c>
      <c r="U36" s="6">
        <v>0.658940054668877</v>
      </c>
      <c r="V36" s="11" t="s">
        <v>21</v>
      </c>
      <c r="W36" s="6"/>
      <c r="X36" s="5" t="s">
        <v>15</v>
      </c>
      <c r="Y36" s="6">
        <v>0.170748477551827</v>
      </c>
      <c r="Z36" s="6">
        <v>0.577026765772762</v>
      </c>
      <c r="AA36" s="6">
        <v>0.710186951075499</v>
      </c>
      <c r="AB36" s="6">
        <v>0.00652700292650616</v>
      </c>
      <c r="AC36" s="6">
        <v>0.430158473984921</v>
      </c>
      <c r="AD36" s="6">
        <v>0.142330367894062</v>
      </c>
      <c r="AE36" s="6">
        <v>0.176290562182918</v>
      </c>
      <c r="AF36" s="6">
        <v>0.564532757483161</v>
      </c>
      <c r="AG36" s="6"/>
      <c r="AH36" s="6" t="s">
        <v>22</v>
      </c>
      <c r="AI36" s="6">
        <v>0.0336450112136946</v>
      </c>
      <c r="AJ36" s="6">
        <v>0.91732657169728</v>
      </c>
      <c r="AL36" s="6"/>
      <c r="AM36" s="6"/>
    </row>
    <row r="37" s="1" customFormat="1" spans="1:39">
      <c r="A37" s="2" t="s">
        <v>50</v>
      </c>
      <c r="B37" s="5" t="s">
        <v>11</v>
      </c>
      <c r="C37" s="6" t="s">
        <v>61</v>
      </c>
      <c r="D37" s="1">
        <v>56065</v>
      </c>
      <c r="E37" s="6">
        <v>-0.0722357868851456</v>
      </c>
      <c r="F37" s="6">
        <v>0.877688414436486</v>
      </c>
      <c r="G37" s="6">
        <v>0.468112879570871</v>
      </c>
      <c r="H37" s="6">
        <v>0.2894354435462</v>
      </c>
      <c r="I37" s="6">
        <v>-0.29312549916662</v>
      </c>
      <c r="J37" s="6">
        <v>0.523474889224896</v>
      </c>
      <c r="K37" s="6">
        <v>-0.357216622183106</v>
      </c>
      <c r="L37" s="6">
        <v>0.38501537329429</v>
      </c>
      <c r="M37" s="5" t="s">
        <v>13</v>
      </c>
      <c r="N37" s="6">
        <v>-0.225499365900564</v>
      </c>
      <c r="O37" s="6">
        <v>0.626838872463833</v>
      </c>
      <c r="P37" s="6">
        <v>0.376449890634835</v>
      </c>
      <c r="Q37" s="6">
        <v>0.405222805211319</v>
      </c>
      <c r="R37" s="6">
        <v>0.10810738569111</v>
      </c>
      <c r="S37" s="6">
        <v>0.817541788708121</v>
      </c>
      <c r="T37" s="6">
        <v>-0.391462271920366</v>
      </c>
      <c r="U37" s="6">
        <v>0.337546850690014</v>
      </c>
      <c r="V37" s="11" t="s">
        <v>14</v>
      </c>
      <c r="W37" s="6"/>
      <c r="X37" s="5" t="s">
        <v>15</v>
      </c>
      <c r="Y37" s="6">
        <v>-0.173708106687811</v>
      </c>
      <c r="Z37" s="6">
        <v>0.57034073798663</v>
      </c>
      <c r="AA37" s="6">
        <v>0.451904650537357</v>
      </c>
      <c r="AB37" s="6">
        <v>0.121073369487657</v>
      </c>
      <c r="AC37" s="6">
        <v>-0.394666495216089</v>
      </c>
      <c r="AD37" s="6">
        <v>0.182019405493246</v>
      </c>
      <c r="AE37" s="6">
        <v>0.0784205341905035</v>
      </c>
      <c r="AF37" s="6">
        <v>0.798993300202766</v>
      </c>
      <c r="AG37" s="6"/>
      <c r="AH37" s="6" t="s">
        <v>62</v>
      </c>
      <c r="AI37" s="6">
        <v>0.269506509098341</v>
      </c>
      <c r="AJ37" s="6">
        <v>0.396937029731608</v>
      </c>
      <c r="AL37" s="6"/>
      <c r="AM37" s="6"/>
    </row>
    <row r="38" s="1" customFormat="1" spans="1:39">
      <c r="A38" s="2" t="s">
        <v>50</v>
      </c>
      <c r="B38" s="5" t="s">
        <v>11</v>
      </c>
      <c r="C38" s="6" t="s">
        <v>65</v>
      </c>
      <c r="D38" s="1">
        <v>56065</v>
      </c>
      <c r="E38" s="6">
        <v>0.638470237226774</v>
      </c>
      <c r="F38" s="6">
        <v>0.122763597462957</v>
      </c>
      <c r="G38" s="6">
        <v>0.0932304467464728</v>
      </c>
      <c r="H38" s="6">
        <v>0.842414027656009</v>
      </c>
      <c r="I38" s="6">
        <v>0.548005917137332</v>
      </c>
      <c r="J38" s="6">
        <v>0.202829026907276</v>
      </c>
      <c r="K38" s="6">
        <v>-0.213206060126923</v>
      </c>
      <c r="L38" s="6">
        <v>0.612188018012548</v>
      </c>
      <c r="M38" s="5" t="s">
        <v>13</v>
      </c>
      <c r="N38" s="6">
        <v>0.18377650412918</v>
      </c>
      <c r="O38" s="6">
        <v>0.693253039877234</v>
      </c>
      <c r="P38" s="6">
        <v>0.450263104674647</v>
      </c>
      <c r="Q38" s="6">
        <v>0.310677761097395</v>
      </c>
      <c r="R38" s="6">
        <v>0.086494286758819</v>
      </c>
      <c r="S38" s="6">
        <v>0.853711385331921</v>
      </c>
      <c r="T38" s="6">
        <v>0.143622186414711</v>
      </c>
      <c r="U38" s="6">
        <v>0.734388662695372</v>
      </c>
      <c r="V38" s="11" t="s">
        <v>18</v>
      </c>
      <c r="W38" s="6"/>
      <c r="X38" s="5" t="s">
        <v>15</v>
      </c>
      <c r="Y38" s="6">
        <v>0.154691579760846</v>
      </c>
      <c r="Z38" s="6">
        <v>0.613836494353178</v>
      </c>
      <c r="AA38" s="6">
        <v>0.616803691793338</v>
      </c>
      <c r="AB38" s="6">
        <v>0.0247386683868797</v>
      </c>
      <c r="AC38" s="6">
        <v>0.5251182938624</v>
      </c>
      <c r="AD38" s="6">
        <v>0.0653699977423706</v>
      </c>
      <c r="AE38" s="6">
        <v>0.185282199821699</v>
      </c>
      <c r="AF38" s="6">
        <v>0.544503438248305</v>
      </c>
      <c r="AG38" s="6"/>
      <c r="AH38" s="6" t="s">
        <v>66</v>
      </c>
      <c r="AI38" s="6">
        <v>0.0866250968136661</v>
      </c>
      <c r="AJ38" s="6">
        <v>0.788939597755434</v>
      </c>
      <c r="AL38" s="6"/>
      <c r="AM38" s="6"/>
    </row>
    <row r="39" s="1" customFormat="1" spans="1:39">
      <c r="A39" s="2" t="s">
        <v>50</v>
      </c>
      <c r="B39" s="5" t="s">
        <v>11</v>
      </c>
      <c r="C39" s="6" t="s">
        <v>53</v>
      </c>
      <c r="D39" s="1">
        <v>56065</v>
      </c>
      <c r="E39" s="6">
        <v>0.636483476969381</v>
      </c>
      <c r="F39" s="6">
        <v>0.1243062231759</v>
      </c>
      <c r="G39" s="6">
        <v>-0.107182883529904</v>
      </c>
      <c r="H39" s="6">
        <v>0.81908407180809</v>
      </c>
      <c r="I39" s="6">
        <v>0.617385143314226</v>
      </c>
      <c r="J39" s="6">
        <v>0.139637058812129</v>
      </c>
      <c r="K39" s="6">
        <v>-0.809402388588264</v>
      </c>
      <c r="L39" s="6">
        <v>0.0149297292264838</v>
      </c>
      <c r="M39" s="5" t="s">
        <v>13</v>
      </c>
      <c r="N39" s="6">
        <v>0.0101326088751225</v>
      </c>
      <c r="O39" s="6">
        <v>0.982799231949597</v>
      </c>
      <c r="P39" s="6">
        <v>0.483535722290327</v>
      </c>
      <c r="Q39" s="6">
        <v>0.271621142441691</v>
      </c>
      <c r="R39" s="6">
        <v>0.151513138774379</v>
      </c>
      <c r="S39" s="6">
        <v>0.745725475587904</v>
      </c>
      <c r="T39" s="6">
        <v>-0.393801932872607</v>
      </c>
      <c r="U39" s="6">
        <v>0.334408291143272</v>
      </c>
      <c r="V39" s="11" t="s">
        <v>18</v>
      </c>
      <c r="W39" s="6"/>
      <c r="X39" s="5" t="s">
        <v>15</v>
      </c>
      <c r="Y39" s="6">
        <v>-0.0143183175177204</v>
      </c>
      <c r="Z39" s="6">
        <v>0.962971341264697</v>
      </c>
      <c r="AA39" s="6">
        <v>0.499367225863415</v>
      </c>
      <c r="AB39" s="6">
        <v>0.0823136259792198</v>
      </c>
      <c r="AC39" s="6">
        <v>0.33903688722704</v>
      </c>
      <c r="AD39" s="6">
        <v>0.257122473422142</v>
      </c>
      <c r="AE39" s="6">
        <v>-0.357728632490382</v>
      </c>
      <c r="AF39" s="6">
        <v>0.230110696283191</v>
      </c>
      <c r="AG39" s="6"/>
      <c r="AH39" s="6" t="s">
        <v>54</v>
      </c>
      <c r="AI39" s="6">
        <v>0.303777184109029</v>
      </c>
      <c r="AJ39" s="6">
        <v>0.337096047943439</v>
      </c>
      <c r="AL39" s="6"/>
      <c r="AM39" s="6"/>
    </row>
    <row r="40" s="1" customFormat="1" spans="1:39">
      <c r="A40" s="2" t="s">
        <v>50</v>
      </c>
      <c r="B40" s="5" t="s">
        <v>11</v>
      </c>
      <c r="C40" s="6" t="s">
        <v>67</v>
      </c>
      <c r="D40" s="1">
        <v>56065</v>
      </c>
      <c r="E40" s="6">
        <v>0.631818827962194</v>
      </c>
      <c r="F40" s="6">
        <v>0.127966871874681</v>
      </c>
      <c r="G40" s="6">
        <v>-0.491905909135576</v>
      </c>
      <c r="H40" s="6">
        <v>0.262166985695109</v>
      </c>
      <c r="I40" s="6">
        <v>0.582695516882109</v>
      </c>
      <c r="J40" s="6">
        <v>0.169782701078395</v>
      </c>
      <c r="K40" s="6">
        <v>-0.0870051415154636</v>
      </c>
      <c r="L40" s="6">
        <v>0.837686764721809</v>
      </c>
      <c r="M40" s="5" t="s">
        <v>13</v>
      </c>
      <c r="N40" s="6">
        <v>0.517370074900411</v>
      </c>
      <c r="O40" s="6">
        <v>0.234351970852079</v>
      </c>
      <c r="P40" s="6">
        <v>0.638673483697307</v>
      </c>
      <c r="Q40" s="6">
        <v>0.122606342975113</v>
      </c>
      <c r="R40" s="6">
        <v>-0.0631722303322858</v>
      </c>
      <c r="S40" s="6">
        <v>0.892969354767049</v>
      </c>
      <c r="T40" s="6">
        <v>0.443443713576241</v>
      </c>
      <c r="U40" s="6">
        <v>0.271112602142547</v>
      </c>
      <c r="V40" s="11" t="s">
        <v>14</v>
      </c>
      <c r="W40" s="6"/>
      <c r="X40" s="5" t="s">
        <v>15</v>
      </c>
      <c r="Y40" s="6">
        <v>0.282456161945475</v>
      </c>
      <c r="Z40" s="6">
        <v>0.349771797704062</v>
      </c>
      <c r="AA40" s="6">
        <v>0.634015888319707</v>
      </c>
      <c r="AB40" s="6">
        <v>0.0199608499584114</v>
      </c>
      <c r="AC40" s="6">
        <v>0.43467700108679</v>
      </c>
      <c r="AD40" s="6">
        <v>0.137725446750378</v>
      </c>
      <c r="AE40" s="6">
        <v>0.218887539057403</v>
      </c>
      <c r="AF40" s="6">
        <v>0.472464637464022</v>
      </c>
      <c r="AG40" s="6"/>
      <c r="AH40" s="6" t="s">
        <v>68</v>
      </c>
      <c r="AI40" s="6">
        <v>-0.120875798790543</v>
      </c>
      <c r="AJ40" s="6">
        <v>0.708251591186178</v>
      </c>
      <c r="AL40" s="6"/>
      <c r="AM40" s="6"/>
    </row>
    <row r="41" s="1" customFormat="1" spans="1:36">
      <c r="A41" s="2"/>
      <c r="D41" s="1" t="s">
        <v>48</v>
      </c>
      <c r="E41" s="7">
        <v>14</v>
      </c>
      <c r="F41" s="1">
        <v>0</v>
      </c>
      <c r="G41" s="1">
        <v>9</v>
      </c>
      <c r="H41" s="1">
        <v>1</v>
      </c>
      <c r="I41" s="1">
        <v>10</v>
      </c>
      <c r="J41" s="1">
        <v>0</v>
      </c>
      <c r="K41" s="1">
        <v>5</v>
      </c>
      <c r="L41" s="1">
        <v>1</v>
      </c>
      <c r="N41" s="1">
        <v>12</v>
      </c>
      <c r="O41" s="1">
        <v>1</v>
      </c>
      <c r="P41" s="1">
        <v>15</v>
      </c>
      <c r="Q41" s="1">
        <v>2</v>
      </c>
      <c r="R41" s="1">
        <v>11</v>
      </c>
      <c r="S41" s="1">
        <v>1</v>
      </c>
      <c r="T41" s="1">
        <v>9</v>
      </c>
      <c r="U41" s="1">
        <v>0</v>
      </c>
      <c r="Y41" s="1">
        <v>13</v>
      </c>
      <c r="Z41" s="1">
        <v>1</v>
      </c>
      <c r="AA41" s="8">
        <v>16</v>
      </c>
      <c r="AB41" s="8">
        <v>4</v>
      </c>
      <c r="AC41" s="8">
        <v>12</v>
      </c>
      <c r="AD41" s="8">
        <v>0</v>
      </c>
      <c r="AE41" s="1">
        <v>5</v>
      </c>
      <c r="AF41" s="1">
        <v>0</v>
      </c>
      <c r="AI41" s="1">
        <v>15</v>
      </c>
      <c r="AJ41" s="1">
        <v>2</v>
      </c>
    </row>
    <row r="42" s="1" customFormat="1" spans="1:36">
      <c r="A42" s="2"/>
      <c r="D42" s="1" t="s">
        <v>49</v>
      </c>
      <c r="E42" s="1">
        <v>5</v>
      </c>
      <c r="F42" s="1">
        <v>0</v>
      </c>
      <c r="G42" s="1">
        <v>10</v>
      </c>
      <c r="H42" s="1">
        <v>0</v>
      </c>
      <c r="I42" s="1">
        <v>9</v>
      </c>
      <c r="J42" s="1">
        <v>0</v>
      </c>
      <c r="K42" s="1">
        <v>14</v>
      </c>
      <c r="L42" s="1">
        <v>3</v>
      </c>
      <c r="N42" s="1">
        <v>7</v>
      </c>
      <c r="O42" s="1">
        <v>0</v>
      </c>
      <c r="P42" s="1">
        <v>4</v>
      </c>
      <c r="Q42" s="1">
        <v>0</v>
      </c>
      <c r="R42" s="1">
        <v>8</v>
      </c>
      <c r="S42" s="1">
        <v>0</v>
      </c>
      <c r="T42" s="1">
        <v>10</v>
      </c>
      <c r="U42" s="1">
        <v>3</v>
      </c>
      <c r="X42" s="1" t="s">
        <v>69</v>
      </c>
      <c r="Y42" s="1">
        <v>6</v>
      </c>
      <c r="Z42" s="1">
        <v>1</v>
      </c>
      <c r="AA42" s="8">
        <v>3</v>
      </c>
      <c r="AB42" s="8">
        <v>1</v>
      </c>
      <c r="AC42" s="8">
        <v>7</v>
      </c>
      <c r="AD42" s="8">
        <v>1</v>
      </c>
      <c r="AE42" s="1">
        <v>14</v>
      </c>
      <c r="AF42" s="1">
        <v>1</v>
      </c>
      <c r="AI42" s="1">
        <v>4</v>
      </c>
      <c r="AJ42" s="1">
        <v>0</v>
      </c>
    </row>
    <row r="43" s="1" customFormat="1" spans="1:39">
      <c r="A43" s="2" t="s">
        <v>69</v>
      </c>
      <c r="B43" s="5" t="s">
        <v>11</v>
      </c>
      <c r="C43" s="6" t="s">
        <v>20</v>
      </c>
      <c r="D43" s="1">
        <v>52765</v>
      </c>
      <c r="E43" s="6">
        <v>-0.155560016929264</v>
      </c>
      <c r="F43" s="6">
        <v>0.667828181422719</v>
      </c>
      <c r="G43" s="6">
        <v>-0.470484783129217</v>
      </c>
      <c r="H43" s="6">
        <v>0.1699684126677</v>
      </c>
      <c r="I43" s="6">
        <v>-0.410821896441796</v>
      </c>
      <c r="J43" s="6">
        <v>0.23825833523139</v>
      </c>
      <c r="K43" s="6">
        <v>-0.16686874997359</v>
      </c>
      <c r="L43" s="6">
        <v>0.644970118525255</v>
      </c>
      <c r="M43" s="5" t="s">
        <v>13</v>
      </c>
      <c r="N43" s="6">
        <v>0.62272086500738</v>
      </c>
      <c r="O43" s="6">
        <v>0.0544779852519818</v>
      </c>
      <c r="P43" s="6">
        <v>-0.15289800110724</v>
      </c>
      <c r="Q43" s="6">
        <v>0.673245598768793</v>
      </c>
      <c r="R43" s="6">
        <v>-0.452638693661513</v>
      </c>
      <c r="S43" s="6">
        <v>0.188994697922464</v>
      </c>
      <c r="T43" s="6">
        <v>-0.0911886126703727</v>
      </c>
      <c r="U43" s="6">
        <v>0.802175358314251</v>
      </c>
      <c r="V43" s="11" t="s">
        <v>21</v>
      </c>
      <c r="W43" s="6"/>
      <c r="X43" s="5" t="s">
        <v>15</v>
      </c>
      <c r="Y43" s="6">
        <v>0.296951145440705</v>
      </c>
      <c r="Z43" s="6">
        <v>0.264044460053737</v>
      </c>
      <c r="AA43" s="6">
        <v>0.209779430408215</v>
      </c>
      <c r="AB43" s="6">
        <v>0.435515910265618</v>
      </c>
      <c r="AC43" s="6">
        <v>0.260533637717888</v>
      </c>
      <c r="AD43" s="6">
        <v>0.329773482550913</v>
      </c>
      <c r="AE43" s="6">
        <v>0.0739452812394719</v>
      </c>
      <c r="AF43" s="6">
        <v>0.785498913106706</v>
      </c>
      <c r="AG43" s="6"/>
      <c r="AH43" s="6" t="s">
        <v>22</v>
      </c>
      <c r="AI43" s="6">
        <v>-0.630394544041646</v>
      </c>
      <c r="AJ43" s="6">
        <v>0.011758833554586</v>
      </c>
      <c r="AL43" s="6"/>
      <c r="AM43" s="6"/>
    </row>
    <row r="44" s="1" customFormat="1" spans="1:42">
      <c r="A44" s="2" t="s">
        <v>69</v>
      </c>
      <c r="B44" s="5" t="s">
        <v>11</v>
      </c>
      <c r="C44" s="6" t="s">
        <v>31</v>
      </c>
      <c r="D44" s="1">
        <v>52765</v>
      </c>
      <c r="E44" s="6">
        <v>-0.461691717900313</v>
      </c>
      <c r="F44" s="6">
        <v>0.179193666229886</v>
      </c>
      <c r="G44" s="6">
        <v>0.172023043555225</v>
      </c>
      <c r="H44" s="6">
        <v>0.634638727894866</v>
      </c>
      <c r="I44" s="6">
        <v>-0.0807972676621861</v>
      </c>
      <c r="J44" s="6">
        <v>0.824405284652981</v>
      </c>
      <c r="K44" s="6">
        <v>-0.550631208337461</v>
      </c>
      <c r="L44" s="6">
        <v>0.099054000534206</v>
      </c>
      <c r="M44" s="5" t="s">
        <v>13</v>
      </c>
      <c r="N44" s="6">
        <v>-0.107078005289612</v>
      </c>
      <c r="O44" s="6">
        <v>0.768434084866522</v>
      </c>
      <c r="P44" s="6">
        <v>-0.179382673106728</v>
      </c>
      <c r="Q44" s="6">
        <v>0.619985178751491</v>
      </c>
      <c r="R44" s="6">
        <v>-0.440814006542112</v>
      </c>
      <c r="S44" s="6">
        <v>0.202259989618431</v>
      </c>
      <c r="T44" s="6">
        <v>-0.0362582465136025</v>
      </c>
      <c r="U44" s="6">
        <v>0.920789275707817</v>
      </c>
      <c r="V44" s="11" t="s">
        <v>21</v>
      </c>
      <c r="W44" s="6"/>
      <c r="X44" s="5" t="s">
        <v>15</v>
      </c>
      <c r="Y44" s="6">
        <v>-0.492548450817803</v>
      </c>
      <c r="Z44" s="6">
        <v>0.052586837633438</v>
      </c>
      <c r="AA44" s="6">
        <v>0.202803081257194</v>
      </c>
      <c r="AB44" s="6">
        <v>0.451275957660738</v>
      </c>
      <c r="AC44" s="6">
        <v>-0.796299363921692</v>
      </c>
      <c r="AD44" s="6">
        <v>0.000223390814989684</v>
      </c>
      <c r="AE44" s="6">
        <v>-0.180251615316091</v>
      </c>
      <c r="AF44" s="6">
        <v>0.504117472888672</v>
      </c>
      <c r="AG44" s="6"/>
      <c r="AH44" s="6" t="s">
        <v>32</v>
      </c>
      <c r="AI44" s="6">
        <v>0.366040917168452</v>
      </c>
      <c r="AJ44" s="6">
        <v>0.179655749239943</v>
      </c>
      <c r="AL44" s="15" t="s">
        <v>23</v>
      </c>
      <c r="AM44" s="1" t="s">
        <v>24</v>
      </c>
      <c r="AN44" s="1" t="s">
        <v>25</v>
      </c>
      <c r="AO44" s="1" t="s">
        <v>26</v>
      </c>
      <c r="AP44" s="1" t="s">
        <v>27</v>
      </c>
    </row>
    <row r="45" s="1" customFormat="1" spans="1:42">
      <c r="A45" s="2" t="s">
        <v>69</v>
      </c>
      <c r="B45" s="5" t="s">
        <v>11</v>
      </c>
      <c r="C45" s="6" t="s">
        <v>34</v>
      </c>
      <c r="D45" s="1">
        <v>52765</v>
      </c>
      <c r="E45" s="6">
        <v>0.101389439885122</v>
      </c>
      <c r="F45" s="6">
        <v>0.780476526936669</v>
      </c>
      <c r="G45" s="6">
        <v>-0.176128211365304</v>
      </c>
      <c r="H45" s="6">
        <v>0.626450566588275</v>
      </c>
      <c r="I45" s="6">
        <v>-0.219116640675306</v>
      </c>
      <c r="J45" s="6">
        <v>0.543040032112103</v>
      </c>
      <c r="K45" s="6">
        <v>0.33364864276842</v>
      </c>
      <c r="L45" s="6">
        <v>0.346109252933273</v>
      </c>
      <c r="M45" s="5" t="s">
        <v>13</v>
      </c>
      <c r="N45" s="6">
        <v>0.390402935231143</v>
      </c>
      <c r="O45" s="6">
        <v>0.264685231589763</v>
      </c>
      <c r="P45" s="6">
        <v>-0.0209908198153579</v>
      </c>
      <c r="Q45" s="6">
        <v>0.954102808186874</v>
      </c>
      <c r="R45" s="6">
        <v>-0.210401911727401</v>
      </c>
      <c r="S45" s="6">
        <v>0.559585310903358</v>
      </c>
      <c r="T45" s="6">
        <v>0.281578280084009</v>
      </c>
      <c r="U45" s="6">
        <v>0.430604735372049</v>
      </c>
      <c r="V45" s="11" t="s">
        <v>21</v>
      </c>
      <c r="W45" s="6"/>
      <c r="X45" s="5" t="s">
        <v>15</v>
      </c>
      <c r="Y45" s="6">
        <v>0.443479328351619</v>
      </c>
      <c r="Z45" s="6">
        <v>0.0853247694674755</v>
      </c>
      <c r="AA45" s="6">
        <v>0.124171595984022</v>
      </c>
      <c r="AB45" s="6">
        <v>0.646825599850965</v>
      </c>
      <c r="AC45" s="6">
        <v>0.316993206904032</v>
      </c>
      <c r="AD45" s="6">
        <v>0.231587807794122</v>
      </c>
      <c r="AE45" s="6">
        <v>0.0656783544731039</v>
      </c>
      <c r="AF45" s="6">
        <v>0.809041519163143</v>
      </c>
      <c r="AG45" s="6"/>
      <c r="AH45" s="6" t="s">
        <v>35</v>
      </c>
      <c r="AI45" s="6">
        <v>-0.472033903448317</v>
      </c>
      <c r="AJ45" s="6">
        <v>0.0756425503124376</v>
      </c>
      <c r="AL45" s="15" t="s">
        <v>30</v>
      </c>
      <c r="AM45" s="1">
        <v>0.75</v>
      </c>
      <c r="AN45" s="8">
        <v>0</v>
      </c>
      <c r="AO45" s="1">
        <v>0.25</v>
      </c>
      <c r="AP45" s="1">
        <v>0</v>
      </c>
    </row>
    <row r="46" s="1" customFormat="1" spans="1:42">
      <c r="A46" s="2" t="s">
        <v>69</v>
      </c>
      <c r="B46" s="5" t="s">
        <v>11</v>
      </c>
      <c r="C46" s="6" t="s">
        <v>70</v>
      </c>
      <c r="D46" s="1">
        <v>52765</v>
      </c>
      <c r="E46" s="6">
        <v>0.0560078345747276</v>
      </c>
      <c r="F46" s="6">
        <v>0.895204715650952</v>
      </c>
      <c r="G46" s="6">
        <v>0.332018579417507</v>
      </c>
      <c r="H46" s="6">
        <v>0.421702788745076</v>
      </c>
      <c r="I46" s="6">
        <v>0.0108315597110015</v>
      </c>
      <c r="J46" s="6">
        <v>0.979692413970558</v>
      </c>
      <c r="K46" s="6">
        <v>-0.258042158964915</v>
      </c>
      <c r="L46" s="6">
        <v>0.537219340192786</v>
      </c>
      <c r="M46" s="5" t="s">
        <v>13</v>
      </c>
      <c r="N46" s="6">
        <v>0.0896877707848391</v>
      </c>
      <c r="O46" s="6">
        <v>0.832735052486824</v>
      </c>
      <c r="P46" s="6">
        <v>-0.193933231179304</v>
      </c>
      <c r="Q46" s="6">
        <v>0.645389630488939</v>
      </c>
      <c r="R46" s="6">
        <v>-0.365268900958675</v>
      </c>
      <c r="S46" s="6">
        <v>0.373600814412371</v>
      </c>
      <c r="T46" s="6">
        <v>0.012382579943702</v>
      </c>
      <c r="U46" s="6">
        <v>0.976785035746093</v>
      </c>
      <c r="V46" s="11" t="s">
        <v>21</v>
      </c>
      <c r="W46" s="6"/>
      <c r="X46" s="5" t="s">
        <v>15</v>
      </c>
      <c r="Y46" s="6">
        <v>0.162723314843746</v>
      </c>
      <c r="Z46" s="6">
        <v>0.578336553214626</v>
      </c>
      <c r="AA46" s="6">
        <v>0.416823285488329</v>
      </c>
      <c r="AB46" s="6">
        <v>0.138160699200024</v>
      </c>
      <c r="AC46" s="6">
        <v>-0.473731586207977</v>
      </c>
      <c r="AD46" s="6">
        <v>0.087049334796275</v>
      </c>
      <c r="AE46" s="6">
        <v>0.0131578531228094</v>
      </c>
      <c r="AF46" s="6">
        <v>0.964391556006698</v>
      </c>
      <c r="AG46" s="6"/>
      <c r="AH46" s="6" t="s">
        <v>71</v>
      </c>
      <c r="AI46" s="6">
        <v>0.673237877098968</v>
      </c>
      <c r="AJ46" s="6">
        <v>0.0116610388032545</v>
      </c>
      <c r="AL46" s="15" t="s">
        <v>33</v>
      </c>
      <c r="AM46" s="1">
        <v>0.5</v>
      </c>
      <c r="AN46" s="7">
        <v>0</v>
      </c>
      <c r="AO46" s="7">
        <v>0.333333333333333</v>
      </c>
      <c r="AP46" s="1">
        <v>0.166666666666667</v>
      </c>
    </row>
    <row r="47" s="1" customFormat="1" spans="1:42">
      <c r="A47" s="2" t="s">
        <v>69</v>
      </c>
      <c r="B47" s="5" t="s">
        <v>11</v>
      </c>
      <c r="C47" s="6" t="s">
        <v>51</v>
      </c>
      <c r="D47" s="1">
        <v>52825</v>
      </c>
      <c r="E47" s="6">
        <v>-0.106502592795162</v>
      </c>
      <c r="F47" s="6">
        <v>0.785075074515969</v>
      </c>
      <c r="G47" s="6">
        <v>0.540700670499228</v>
      </c>
      <c r="H47" s="6">
        <v>0.132815488958723</v>
      </c>
      <c r="I47" s="6">
        <v>-0.343787219209288</v>
      </c>
      <c r="J47" s="6">
        <v>0.36500515823228</v>
      </c>
      <c r="K47" s="6">
        <v>0.157329314755954</v>
      </c>
      <c r="L47" s="6">
        <v>0.68602909221736</v>
      </c>
      <c r="M47" s="5" t="s">
        <v>13</v>
      </c>
      <c r="N47" s="6">
        <v>0.146141955638245</v>
      </c>
      <c r="O47" s="6">
        <v>0.70753000894507</v>
      </c>
      <c r="P47" s="6">
        <v>0.0319543531643544</v>
      </c>
      <c r="Q47" s="6">
        <v>0.934958491798311</v>
      </c>
      <c r="R47" s="6">
        <v>-0.269607310256941</v>
      </c>
      <c r="S47" s="6">
        <v>0.482951068771186</v>
      </c>
      <c r="T47" s="6">
        <v>0.617691414246973</v>
      </c>
      <c r="U47" s="6">
        <v>0.0762992578604143</v>
      </c>
      <c r="V47" s="11" t="s">
        <v>14</v>
      </c>
      <c r="W47" s="6"/>
      <c r="X47" s="5" t="s">
        <v>15</v>
      </c>
      <c r="Y47" s="6">
        <v>-0.169395155932174</v>
      </c>
      <c r="Z47" s="6">
        <v>0.546151958689581</v>
      </c>
      <c r="AA47" s="6">
        <v>0.312894121082659</v>
      </c>
      <c r="AB47" s="6">
        <v>0.256162401967789</v>
      </c>
      <c r="AC47" s="6">
        <v>0.154829031044198</v>
      </c>
      <c r="AD47" s="6">
        <v>0.581655034345912</v>
      </c>
      <c r="AE47" s="6">
        <v>0.248249435343062</v>
      </c>
      <c r="AF47" s="6">
        <v>0.372319260333789</v>
      </c>
      <c r="AG47" s="6"/>
      <c r="AH47" s="6" t="s">
        <v>52</v>
      </c>
      <c r="AI47" s="6">
        <v>0.0730112856518588</v>
      </c>
      <c r="AJ47" s="6">
        <v>0.804100927839969</v>
      </c>
      <c r="AL47" s="15" t="s">
        <v>4</v>
      </c>
      <c r="AM47" s="7">
        <v>0.5</v>
      </c>
      <c r="AN47" s="1">
        <v>0.0833333333333333</v>
      </c>
      <c r="AO47" s="7">
        <v>0.333333333333333</v>
      </c>
      <c r="AP47" s="1">
        <v>0.0833333333333333</v>
      </c>
    </row>
    <row r="48" s="1" customFormat="1" spans="1:42">
      <c r="A48" s="2" t="s">
        <v>69</v>
      </c>
      <c r="B48" s="5" t="s">
        <v>11</v>
      </c>
      <c r="C48" s="6" t="s">
        <v>72</v>
      </c>
      <c r="D48" s="1">
        <v>52825</v>
      </c>
      <c r="E48" s="6">
        <v>-0.341026829724257</v>
      </c>
      <c r="F48" s="6">
        <v>0.454124617675942</v>
      </c>
      <c r="G48" s="6">
        <v>0.741413145115078</v>
      </c>
      <c r="H48" s="6">
        <v>0.0564930636732818</v>
      </c>
      <c r="I48" s="6">
        <v>0.419920020474875</v>
      </c>
      <c r="J48" s="6">
        <v>0.348274296953188</v>
      </c>
      <c r="K48" s="6">
        <v>-0.161541501537673</v>
      </c>
      <c r="L48" s="6">
        <v>0.729322833450791</v>
      </c>
      <c r="M48" s="5" t="s">
        <v>13</v>
      </c>
      <c r="N48" s="6">
        <v>-0.190920471975481</v>
      </c>
      <c r="O48" s="6">
        <v>0.681758028474626</v>
      </c>
      <c r="P48" s="6">
        <v>-0.109592684231765</v>
      </c>
      <c r="Q48" s="6">
        <v>0.815064948990734</v>
      </c>
      <c r="R48" s="6">
        <v>0.205226586165081</v>
      </c>
      <c r="S48" s="6">
        <v>0.658886958452674</v>
      </c>
      <c r="T48" s="6">
        <v>0.565711283330032</v>
      </c>
      <c r="U48" s="6">
        <v>0.185605288038002</v>
      </c>
      <c r="V48" s="11" t="s">
        <v>21</v>
      </c>
      <c r="W48" s="6"/>
      <c r="X48" s="5" t="s">
        <v>15</v>
      </c>
      <c r="Y48" s="6">
        <v>0.20875116962496</v>
      </c>
      <c r="Z48" s="6">
        <v>0.493706575743228</v>
      </c>
      <c r="AA48" s="6">
        <v>0.111193282137854</v>
      </c>
      <c r="AB48" s="6">
        <v>0.717620074899526</v>
      </c>
      <c r="AC48" s="6">
        <v>-0.331469549684325</v>
      </c>
      <c r="AD48" s="6">
        <v>0.268569979867735</v>
      </c>
      <c r="AE48" s="6">
        <v>0.22637273777127</v>
      </c>
      <c r="AF48" s="6">
        <v>0.457060784640369</v>
      </c>
      <c r="AG48" s="6"/>
      <c r="AH48" s="6" t="s">
        <v>73</v>
      </c>
      <c r="AI48" s="6">
        <v>0.188686516605073</v>
      </c>
      <c r="AJ48" s="6">
        <v>0.557002426263354</v>
      </c>
      <c r="AL48" s="15" t="s">
        <v>5</v>
      </c>
      <c r="AM48" s="1">
        <v>0.666666666666667</v>
      </c>
      <c r="AN48" s="7">
        <v>0</v>
      </c>
      <c r="AO48" s="1">
        <v>0.333333333333333</v>
      </c>
      <c r="AP48" s="7">
        <v>0</v>
      </c>
    </row>
    <row r="49" s="1" customFormat="1" spans="1:42">
      <c r="A49" s="2" t="s">
        <v>69</v>
      </c>
      <c r="B49" s="5" t="s">
        <v>11</v>
      </c>
      <c r="C49" s="6" t="s">
        <v>12</v>
      </c>
      <c r="D49" s="1">
        <v>52868</v>
      </c>
      <c r="E49" s="6">
        <v>0.217159803122932</v>
      </c>
      <c r="F49" s="6">
        <v>0.546738161876657</v>
      </c>
      <c r="G49" s="6">
        <v>-0.172776808597995</v>
      </c>
      <c r="H49" s="6">
        <v>0.633132561658594</v>
      </c>
      <c r="I49" s="6">
        <v>0.321680753391411</v>
      </c>
      <c r="J49" s="6">
        <v>0.36472924779276</v>
      </c>
      <c r="K49" s="6">
        <v>-0.451100409520346</v>
      </c>
      <c r="L49" s="6">
        <v>0.163738042572804</v>
      </c>
      <c r="M49" s="5" t="s">
        <v>13</v>
      </c>
      <c r="N49" s="6">
        <v>-0.373782427866735</v>
      </c>
      <c r="O49" s="6">
        <v>0.287329732524268</v>
      </c>
      <c r="P49" s="6">
        <v>-0.0220061113007362</v>
      </c>
      <c r="Q49" s="6">
        <v>0.95188493667329</v>
      </c>
      <c r="R49" s="6">
        <v>0.392291817346761</v>
      </c>
      <c r="S49" s="6">
        <v>0.262175842500497</v>
      </c>
      <c r="T49" s="6">
        <v>-0.0262380806836779</v>
      </c>
      <c r="U49" s="6">
        <v>0.938961291425174</v>
      </c>
      <c r="V49" s="11" t="s">
        <v>14</v>
      </c>
      <c r="W49" s="6"/>
      <c r="X49" s="5" t="s">
        <v>15</v>
      </c>
      <c r="Y49" s="6">
        <v>0.40938237086805</v>
      </c>
      <c r="Z49" s="6">
        <v>0.115341739189726</v>
      </c>
      <c r="AA49" s="6">
        <v>-0.715892688282749</v>
      </c>
      <c r="AB49" s="6">
        <v>0.00181553351287395</v>
      </c>
      <c r="AC49" s="6">
        <v>-0.076512767548467</v>
      </c>
      <c r="AD49" s="6">
        <v>0.778221564603289</v>
      </c>
      <c r="AE49" s="6">
        <v>-0.352326023748978</v>
      </c>
      <c r="AF49" s="6">
        <v>0.180771900859336</v>
      </c>
      <c r="AG49" s="6"/>
      <c r="AH49" s="6" t="s">
        <v>16</v>
      </c>
      <c r="AI49" s="6">
        <v>0.495098975738125</v>
      </c>
      <c r="AJ49" s="6">
        <v>0.0605926980352281</v>
      </c>
      <c r="AL49" s="1" t="s">
        <v>40</v>
      </c>
      <c r="AM49" s="7">
        <v>0.5</v>
      </c>
      <c r="AN49" s="1">
        <v>0.25</v>
      </c>
      <c r="AO49" s="7">
        <v>0.166666666666667</v>
      </c>
      <c r="AP49" s="1">
        <v>0.0833333333333333</v>
      </c>
    </row>
    <row r="50" s="1" customFormat="1" spans="1:39">
      <c r="A50" s="2" t="s">
        <v>69</v>
      </c>
      <c r="B50" s="5" t="s">
        <v>11</v>
      </c>
      <c r="C50" s="6" t="s">
        <v>74</v>
      </c>
      <c r="D50" s="1">
        <v>52868</v>
      </c>
      <c r="E50" s="6">
        <v>0.151625654939139</v>
      </c>
      <c r="F50" s="6">
        <v>0.67583972990703</v>
      </c>
      <c r="G50" s="6">
        <v>0.380903688445832</v>
      </c>
      <c r="H50" s="6">
        <v>0.277503757423223</v>
      </c>
      <c r="I50" s="6">
        <v>-0.0499097372950521</v>
      </c>
      <c r="J50" s="6">
        <v>0.891094002739974</v>
      </c>
      <c r="K50" s="6">
        <v>-0.0856860583112462</v>
      </c>
      <c r="L50" s="6">
        <v>0.802204355737138</v>
      </c>
      <c r="M50" s="5" t="s">
        <v>13</v>
      </c>
      <c r="N50" s="6">
        <v>-0.203792644292238</v>
      </c>
      <c r="O50" s="6">
        <v>0.57226135840768</v>
      </c>
      <c r="P50" s="6">
        <v>-0.151928126434157</v>
      </c>
      <c r="Q50" s="6">
        <v>0.675222754450201</v>
      </c>
      <c r="R50" s="6">
        <v>0.444056246665245</v>
      </c>
      <c r="S50" s="6">
        <v>0.198570483065698</v>
      </c>
      <c r="T50" s="6">
        <v>-0.105372291232723</v>
      </c>
      <c r="U50" s="6">
        <v>0.757822833536068</v>
      </c>
      <c r="V50" s="11" t="s">
        <v>21</v>
      </c>
      <c r="W50" s="6"/>
      <c r="X50" s="5" t="s">
        <v>15</v>
      </c>
      <c r="Y50" s="6">
        <v>0.326452285366416</v>
      </c>
      <c r="Z50" s="6">
        <v>0.217186787717045</v>
      </c>
      <c r="AA50" s="6">
        <v>-0.278189831321205</v>
      </c>
      <c r="AB50" s="6">
        <v>0.296822872272481</v>
      </c>
      <c r="AC50" s="6">
        <v>0.402550989301491</v>
      </c>
      <c r="AD50" s="6">
        <v>0.122141454547043</v>
      </c>
      <c r="AE50" s="6">
        <v>-0.10153949486552</v>
      </c>
      <c r="AF50" s="6">
        <v>0.708269807616799</v>
      </c>
      <c r="AG50" s="6"/>
      <c r="AH50" s="6" t="s">
        <v>75</v>
      </c>
      <c r="AI50" s="6">
        <v>0.286822328310033</v>
      </c>
      <c r="AJ50" s="6">
        <v>0.299982504409618</v>
      </c>
      <c r="AL50" s="6"/>
      <c r="AM50" s="6"/>
    </row>
    <row r="51" s="1" customFormat="1" spans="1:39">
      <c r="A51" s="2" t="s">
        <v>69</v>
      </c>
      <c r="B51" s="5" t="s">
        <v>11</v>
      </c>
      <c r="C51" s="6" t="s">
        <v>72</v>
      </c>
      <c r="D51" s="1">
        <v>52868</v>
      </c>
      <c r="E51" s="6">
        <v>-0.14991976585235</v>
      </c>
      <c r="F51" s="6">
        <v>0.679322614205373</v>
      </c>
      <c r="G51" s="6">
        <v>0.39271398301238</v>
      </c>
      <c r="H51" s="6">
        <v>0.261616790871818</v>
      </c>
      <c r="I51" s="6">
        <v>0.357901773893436</v>
      </c>
      <c r="J51" s="6">
        <v>0.309903189677305</v>
      </c>
      <c r="K51" s="6">
        <v>0.160664243964543</v>
      </c>
      <c r="L51" s="6">
        <v>0.636988787903019</v>
      </c>
      <c r="M51" s="5" t="s">
        <v>13</v>
      </c>
      <c r="N51" s="6">
        <v>-0.391194235749804</v>
      </c>
      <c r="O51" s="6">
        <v>0.263632385424142</v>
      </c>
      <c r="P51" s="6">
        <v>0.0796829022533632</v>
      </c>
      <c r="Q51" s="6">
        <v>0.826796176071683</v>
      </c>
      <c r="R51" s="6">
        <v>-0.627093344051223</v>
      </c>
      <c r="S51" s="6">
        <v>0.0523123602895912</v>
      </c>
      <c r="T51" s="6">
        <v>0.698069684542297</v>
      </c>
      <c r="U51" s="6">
        <v>0.0169006820433852</v>
      </c>
      <c r="V51" s="11" t="s">
        <v>21</v>
      </c>
      <c r="W51" s="6"/>
      <c r="X51" s="5" t="s">
        <v>15</v>
      </c>
      <c r="Y51" s="6">
        <v>0.288368697181385</v>
      </c>
      <c r="Z51" s="6">
        <v>0.278752024619476</v>
      </c>
      <c r="AA51" s="6">
        <v>-0.254277417809068</v>
      </c>
      <c r="AB51" s="6">
        <v>0.341933304115911</v>
      </c>
      <c r="AC51" s="6">
        <v>-0.510229768866102</v>
      </c>
      <c r="AD51" s="6">
        <v>0.0434559312271334</v>
      </c>
      <c r="AE51" s="6">
        <v>0.294307739189056</v>
      </c>
      <c r="AF51" s="6">
        <v>0.26852273996514</v>
      </c>
      <c r="AG51" s="6"/>
      <c r="AH51" s="6" t="s">
        <v>73</v>
      </c>
      <c r="AI51" s="6">
        <v>0.654027159287394</v>
      </c>
      <c r="AJ51" s="6">
        <v>0.0081704977843935</v>
      </c>
      <c r="AL51" s="6"/>
      <c r="AM51" s="6"/>
    </row>
    <row r="52" s="1" customFormat="1" spans="1:39">
      <c r="A52" s="2" t="s">
        <v>69</v>
      </c>
      <c r="B52" s="5" t="s">
        <v>11</v>
      </c>
      <c r="C52" s="6" t="s">
        <v>20</v>
      </c>
      <c r="D52" s="1">
        <v>52955</v>
      </c>
      <c r="E52" s="6">
        <v>-0.958162213719203</v>
      </c>
      <c r="F52" s="6">
        <v>0.0418377862807967</v>
      </c>
      <c r="G52" s="6">
        <v>-0.752196238527752</v>
      </c>
      <c r="H52" s="6">
        <v>0.247803761472248</v>
      </c>
      <c r="I52" s="6">
        <v>0.309064297453094</v>
      </c>
      <c r="J52" s="6">
        <v>0.690935702546906</v>
      </c>
      <c r="K52" s="6">
        <v>0.552742816931933</v>
      </c>
      <c r="L52" s="6">
        <v>0.333916675691015</v>
      </c>
      <c r="M52" s="5" t="s">
        <v>13</v>
      </c>
      <c r="N52" s="6">
        <v>-0.208963705311937</v>
      </c>
      <c r="O52" s="6">
        <v>0.791036294688063</v>
      </c>
      <c r="P52" s="6">
        <v>-0.147844479431054</v>
      </c>
      <c r="Q52" s="6">
        <v>0.852155520568946</v>
      </c>
      <c r="R52" s="6">
        <v>0.789139876801012</v>
      </c>
      <c r="S52" s="6">
        <v>0.210860123198988</v>
      </c>
      <c r="T52" s="6">
        <v>-0.611104290049725</v>
      </c>
      <c r="U52" s="6">
        <v>0.273505688811393</v>
      </c>
      <c r="V52" s="11" t="s">
        <v>21</v>
      </c>
      <c r="W52" s="6"/>
      <c r="X52" s="5" t="s">
        <v>15</v>
      </c>
      <c r="Y52" s="6">
        <v>0.232975129496123</v>
      </c>
      <c r="Z52" s="6">
        <v>0.517139272043781</v>
      </c>
      <c r="AA52" s="6">
        <v>-0.262242383333789</v>
      </c>
      <c r="AB52" s="6">
        <v>0.464194474873232</v>
      </c>
      <c r="AC52" s="6">
        <v>0.378023802019379</v>
      </c>
      <c r="AD52" s="6">
        <v>0.28145519778685</v>
      </c>
      <c r="AE52" s="6">
        <v>0.0339820491720758</v>
      </c>
      <c r="AF52" s="6">
        <v>0.925750049368118</v>
      </c>
      <c r="AG52" s="6"/>
      <c r="AH52" s="6" t="s">
        <v>22</v>
      </c>
      <c r="AI52" s="6">
        <v>0.0781596075488348</v>
      </c>
      <c r="AJ52" s="6">
        <v>0.841582908464474</v>
      </c>
      <c r="AL52" s="6"/>
      <c r="AM52" s="6"/>
    </row>
    <row r="53" s="1" customFormat="1" spans="1:39">
      <c r="A53" s="2" t="s">
        <v>69</v>
      </c>
      <c r="B53" s="5" t="s">
        <v>11</v>
      </c>
      <c r="C53" s="6" t="s">
        <v>31</v>
      </c>
      <c r="D53" s="1">
        <v>52955</v>
      </c>
      <c r="E53" s="6">
        <v>-0.984364960218168</v>
      </c>
      <c r="F53" s="6">
        <v>0.0156350397818318</v>
      </c>
      <c r="G53" s="6">
        <v>-0.942390534606255</v>
      </c>
      <c r="H53" s="6">
        <v>0.0576094653937448</v>
      </c>
      <c r="I53" s="6">
        <v>-0.960480766736703</v>
      </c>
      <c r="J53" s="6">
        <v>0.0395192332632974</v>
      </c>
      <c r="K53" s="6">
        <v>0.117165812535428</v>
      </c>
      <c r="L53" s="6">
        <v>0.851161880382845</v>
      </c>
      <c r="M53" s="5" t="s">
        <v>13</v>
      </c>
      <c r="N53" s="6">
        <v>-0.421509094556335</v>
      </c>
      <c r="O53" s="6">
        <v>0.578490905443665</v>
      </c>
      <c r="P53" s="6">
        <v>-0.500593052780102</v>
      </c>
      <c r="Q53" s="6">
        <v>0.499406947219898</v>
      </c>
      <c r="R53" s="6">
        <v>-0.267800013069293</v>
      </c>
      <c r="S53" s="6">
        <v>0.732199986930707</v>
      </c>
      <c r="T53" s="6">
        <v>0.284845544225761</v>
      </c>
      <c r="U53" s="6">
        <v>0.642289293973654</v>
      </c>
      <c r="V53" s="11" t="s">
        <v>21</v>
      </c>
      <c r="W53" s="6"/>
      <c r="X53" s="5" t="s">
        <v>15</v>
      </c>
      <c r="Y53" s="6">
        <v>0.220795075668121</v>
      </c>
      <c r="Z53" s="6">
        <v>0.539875990253786</v>
      </c>
      <c r="AA53" s="6">
        <v>-0.738817461046612</v>
      </c>
      <c r="AB53" s="6">
        <v>0.0146465383979039</v>
      </c>
      <c r="AC53" s="6">
        <v>0.0984860752194196</v>
      </c>
      <c r="AD53" s="6">
        <v>0.786639222625616</v>
      </c>
      <c r="AE53" s="6">
        <v>0.0225580749739255</v>
      </c>
      <c r="AF53" s="6">
        <v>0.950679313759855</v>
      </c>
      <c r="AG53" s="6"/>
      <c r="AH53" s="6" t="s">
        <v>32</v>
      </c>
      <c r="AI53" s="6">
        <v>-0.719072522599266</v>
      </c>
      <c r="AJ53" s="6">
        <v>0.0290165379606718</v>
      </c>
      <c r="AL53" s="6"/>
      <c r="AM53" s="6"/>
    </row>
    <row r="54" s="1" customFormat="1" spans="1:39">
      <c r="A54" s="2" t="s">
        <v>69</v>
      </c>
      <c r="B54" s="5" t="s">
        <v>11</v>
      </c>
      <c r="C54" s="6" t="s">
        <v>34</v>
      </c>
      <c r="D54" s="1">
        <v>52955</v>
      </c>
      <c r="E54" s="6">
        <v>-0.91351101133645</v>
      </c>
      <c r="F54" s="6">
        <v>0.0864889886635498</v>
      </c>
      <c r="G54" s="6">
        <v>-0.883404631876505</v>
      </c>
      <c r="H54" s="6">
        <v>0.116595368123495</v>
      </c>
      <c r="I54" s="6">
        <v>-0.734936502217687</v>
      </c>
      <c r="J54" s="6">
        <v>0.265063497782313</v>
      </c>
      <c r="K54" s="6">
        <v>0.524632031310189</v>
      </c>
      <c r="L54" s="6">
        <v>0.364069470021758</v>
      </c>
      <c r="M54" s="5" t="s">
        <v>13</v>
      </c>
      <c r="N54" s="6">
        <v>-0.351560868617692</v>
      </c>
      <c r="O54" s="6">
        <v>0.648439131382308</v>
      </c>
      <c r="P54" s="6">
        <v>-0.755868533345692</v>
      </c>
      <c r="Q54" s="6">
        <v>0.244131466654308</v>
      </c>
      <c r="R54" s="6">
        <v>-0.177726893251938</v>
      </c>
      <c r="S54" s="6">
        <v>0.822273106748062</v>
      </c>
      <c r="T54" s="6">
        <v>-0.751725772816638</v>
      </c>
      <c r="U54" s="6">
        <v>0.142842374478776</v>
      </c>
      <c r="V54" s="11" t="s">
        <v>21</v>
      </c>
      <c r="W54" s="6"/>
      <c r="X54" s="5" t="s">
        <v>15</v>
      </c>
      <c r="Y54" s="6">
        <v>-0.0249521237752448</v>
      </c>
      <c r="Z54" s="6">
        <v>0.945451200244396</v>
      </c>
      <c r="AA54" s="6">
        <v>-0.461710367002602</v>
      </c>
      <c r="AB54" s="6">
        <v>0.17917379374025</v>
      </c>
      <c r="AC54" s="6">
        <v>0.26177872496563</v>
      </c>
      <c r="AD54" s="6">
        <v>0.465013855251969</v>
      </c>
      <c r="AE54" s="6">
        <v>-0.176319219282646</v>
      </c>
      <c r="AF54" s="6">
        <v>0.626070467281786</v>
      </c>
      <c r="AG54" s="6"/>
      <c r="AH54" s="6" t="s">
        <v>35</v>
      </c>
      <c r="AI54" s="6">
        <v>0.872576538291698</v>
      </c>
      <c r="AJ54" s="6">
        <v>0.00214212221653912</v>
      </c>
      <c r="AL54" s="6"/>
      <c r="AM54" s="6"/>
    </row>
    <row r="55" s="1" customFormat="1" spans="1:36">
      <c r="A55" s="2"/>
      <c r="B55" s="5"/>
      <c r="D55" s="1" t="s">
        <v>48</v>
      </c>
      <c r="E55" s="1">
        <v>8</v>
      </c>
      <c r="F55" s="1">
        <v>0</v>
      </c>
      <c r="G55" s="1">
        <v>6</v>
      </c>
      <c r="H55" s="1">
        <v>0</v>
      </c>
      <c r="I55" s="1">
        <v>5</v>
      </c>
      <c r="J55" s="1">
        <v>0</v>
      </c>
      <c r="K55" s="1">
        <v>6</v>
      </c>
      <c r="L55" s="1">
        <v>0</v>
      </c>
      <c r="N55" s="1">
        <v>4</v>
      </c>
      <c r="O55" s="1">
        <v>1</v>
      </c>
      <c r="P55" s="1">
        <v>2</v>
      </c>
      <c r="Q55" s="1">
        <v>0</v>
      </c>
      <c r="R55" s="1">
        <v>4</v>
      </c>
      <c r="S55" s="1">
        <v>0</v>
      </c>
      <c r="T55" s="1">
        <v>6</v>
      </c>
      <c r="U55" s="1">
        <v>1</v>
      </c>
      <c r="Y55" s="1">
        <v>9</v>
      </c>
      <c r="Z55" s="1">
        <v>0</v>
      </c>
      <c r="AA55" s="8">
        <v>6</v>
      </c>
      <c r="AB55" s="8">
        <v>0</v>
      </c>
      <c r="AC55" s="8">
        <v>7</v>
      </c>
      <c r="AD55" s="8">
        <v>1</v>
      </c>
      <c r="AE55" s="1">
        <v>8</v>
      </c>
      <c r="AF55" s="1">
        <v>0</v>
      </c>
      <c r="AI55" s="8">
        <v>9</v>
      </c>
      <c r="AJ55" s="8">
        <v>3</v>
      </c>
    </row>
    <row r="56" s="1" customFormat="1" spans="1:36">
      <c r="A56" s="2"/>
      <c r="B56" s="5"/>
      <c r="D56" s="1" t="s">
        <v>49</v>
      </c>
      <c r="E56" s="1">
        <v>4</v>
      </c>
      <c r="F56" s="1">
        <v>2</v>
      </c>
      <c r="G56" s="1">
        <v>6</v>
      </c>
      <c r="H56" s="1">
        <v>0</v>
      </c>
      <c r="I56" s="1">
        <v>7</v>
      </c>
      <c r="J56" s="1">
        <v>1</v>
      </c>
      <c r="K56" s="1">
        <v>6</v>
      </c>
      <c r="L56" s="1">
        <v>0</v>
      </c>
      <c r="N56" s="1">
        <v>8</v>
      </c>
      <c r="O56" s="1">
        <v>0</v>
      </c>
      <c r="P56" s="1">
        <v>10</v>
      </c>
      <c r="Q56" s="1">
        <v>0</v>
      </c>
      <c r="R56" s="1">
        <v>8</v>
      </c>
      <c r="S56" s="1">
        <v>1</v>
      </c>
      <c r="T56" s="1">
        <v>6</v>
      </c>
      <c r="U56" s="1">
        <v>0</v>
      </c>
      <c r="Y56" s="1">
        <v>3</v>
      </c>
      <c r="Z56" s="1">
        <v>1</v>
      </c>
      <c r="AA56" s="8">
        <v>6</v>
      </c>
      <c r="AB56" s="8">
        <v>2</v>
      </c>
      <c r="AC56" s="8">
        <v>5</v>
      </c>
      <c r="AD56" s="8">
        <v>1</v>
      </c>
      <c r="AE56" s="1">
        <v>4</v>
      </c>
      <c r="AF56" s="1">
        <v>0</v>
      </c>
      <c r="AI56" s="8">
        <v>3</v>
      </c>
      <c r="AJ56" s="8">
        <v>1</v>
      </c>
    </row>
    <row r="57" s="1" customFormat="1" spans="1:50">
      <c r="A57" s="2"/>
      <c r="B57" s="5"/>
      <c r="AT57" s="15" t="s">
        <v>23</v>
      </c>
      <c r="AU57" s="1" t="s">
        <v>24</v>
      </c>
      <c r="AV57" s="1" t="s">
        <v>25</v>
      </c>
      <c r="AW57" s="1" t="s">
        <v>26</v>
      </c>
      <c r="AX57" s="1" t="s">
        <v>27</v>
      </c>
    </row>
    <row r="58" s="1" customFormat="1" spans="1:50">
      <c r="A58" s="2"/>
      <c r="B58" s="5"/>
      <c r="AT58" s="15" t="s">
        <v>30</v>
      </c>
      <c r="AU58" s="7">
        <v>0.693877551020408</v>
      </c>
      <c r="AV58" s="1">
        <v>0.0204081632653061</v>
      </c>
      <c r="AW58" s="7">
        <v>0.26530612244898</v>
      </c>
      <c r="AX58" s="1">
        <v>0.0204081632653061</v>
      </c>
    </row>
    <row r="59" s="1" customFormat="1" spans="1:50">
      <c r="A59" s="2"/>
      <c r="B59" s="5"/>
      <c r="AE59" s="1" t="s">
        <v>76</v>
      </c>
      <c r="AF59" s="4" t="s">
        <v>2</v>
      </c>
      <c r="AG59" s="4"/>
      <c r="AH59" s="15"/>
      <c r="AI59" s="4" t="s">
        <v>3</v>
      </c>
      <c r="AJ59" s="4"/>
      <c r="AK59" s="15"/>
      <c r="AL59" s="4" t="s">
        <v>8</v>
      </c>
      <c r="AM59" s="4"/>
      <c r="AN59" s="15"/>
      <c r="AO59" s="4" t="s">
        <v>5</v>
      </c>
      <c r="AP59" s="15"/>
      <c r="AR59" s="1" t="s">
        <v>40</v>
      </c>
      <c r="AT59" s="15" t="s">
        <v>33</v>
      </c>
      <c r="AU59" s="7">
        <v>0.489795918367347</v>
      </c>
      <c r="AV59" s="1">
        <v>0.142857142857143</v>
      </c>
      <c r="AW59" s="7">
        <v>0.285714285714286</v>
      </c>
      <c r="AX59" s="1">
        <v>0.0816326530612245</v>
      </c>
    </row>
    <row r="60" s="1" customFormat="1" spans="1:50">
      <c r="A60" s="2"/>
      <c r="D60" s="1" t="s">
        <v>77</v>
      </c>
      <c r="AF60" s="15">
        <v>35</v>
      </c>
      <c r="AG60" s="15">
        <v>1</v>
      </c>
      <c r="AH60" s="15"/>
      <c r="AI60" s="15">
        <v>31</v>
      </c>
      <c r="AJ60" s="15">
        <v>7</v>
      </c>
      <c r="AK60" s="15"/>
      <c r="AL60" s="15">
        <v>26</v>
      </c>
      <c r="AM60" s="15">
        <v>3</v>
      </c>
      <c r="AN60" s="15"/>
      <c r="AO60" s="15">
        <v>22</v>
      </c>
      <c r="AP60" s="15">
        <v>0</v>
      </c>
      <c r="AR60" s="1">
        <v>36</v>
      </c>
      <c r="AS60" s="1">
        <v>5</v>
      </c>
      <c r="AT60" s="15" t="s">
        <v>4</v>
      </c>
      <c r="AU60" s="1">
        <v>0.469387755102041</v>
      </c>
      <c r="AV60" s="1">
        <v>0.0612244897959184</v>
      </c>
      <c r="AW60" s="7">
        <v>0.428571428571429</v>
      </c>
      <c r="AX60" s="1">
        <v>0.0408163265306122</v>
      </c>
    </row>
    <row r="61" s="1" customFormat="1" spans="1:50">
      <c r="A61" s="2"/>
      <c r="G61" s="1" t="s">
        <v>78</v>
      </c>
      <c r="J61" s="1" t="s">
        <v>79</v>
      </c>
      <c r="K61" s="1" t="s">
        <v>80</v>
      </c>
      <c r="N61" s="1" t="s">
        <v>81</v>
      </c>
      <c r="P61" s="1" t="s">
        <v>80</v>
      </c>
      <c r="AF61" s="15">
        <v>14</v>
      </c>
      <c r="AG61" s="15">
        <v>4</v>
      </c>
      <c r="AH61" s="15"/>
      <c r="AI61" s="15">
        <v>18</v>
      </c>
      <c r="AJ61" s="15">
        <v>4</v>
      </c>
      <c r="AK61" s="15"/>
      <c r="AL61" s="15">
        <v>23</v>
      </c>
      <c r="AM61" s="15">
        <v>2</v>
      </c>
      <c r="AN61" s="15"/>
      <c r="AO61" s="15">
        <v>27</v>
      </c>
      <c r="AP61" s="15">
        <v>3</v>
      </c>
      <c r="AR61" s="1">
        <v>13</v>
      </c>
      <c r="AS61" s="1">
        <v>1</v>
      </c>
      <c r="AT61" s="15" t="s">
        <v>5</v>
      </c>
      <c r="AU61" s="1">
        <v>0.448979591836735</v>
      </c>
      <c r="AV61" s="7">
        <v>0</v>
      </c>
      <c r="AW61" s="1">
        <v>0.489795918367347</v>
      </c>
      <c r="AX61" s="1">
        <v>0.0612244897959184</v>
      </c>
    </row>
    <row r="62" s="1" customFormat="1" spans="1:50">
      <c r="A62" s="2"/>
      <c r="E62" s="1" t="s">
        <v>82</v>
      </c>
      <c r="G62" s="1" t="s">
        <v>83</v>
      </c>
      <c r="J62" s="1" t="s">
        <v>84</v>
      </c>
      <c r="K62" s="1" t="s">
        <v>85</v>
      </c>
      <c r="N62" s="1" t="s">
        <v>86</v>
      </c>
      <c r="AF62" s="1">
        <f t="shared" ref="AF62:AJ62" si="0">AF60/49</f>
        <v>0.714285714285714</v>
      </c>
      <c r="AG62" s="1">
        <f t="shared" si="0"/>
        <v>0.0204081632653061</v>
      </c>
      <c r="AI62" s="1">
        <f t="shared" si="0"/>
        <v>0.63265306122449</v>
      </c>
      <c r="AJ62" s="1">
        <f t="shared" si="0"/>
        <v>0.142857142857143</v>
      </c>
      <c r="AL62" s="1">
        <f t="shared" ref="AL62:AP62" si="1">AL60/49</f>
        <v>0.530612244897959</v>
      </c>
      <c r="AM62" s="1">
        <f t="shared" si="1"/>
        <v>0.0612244897959184</v>
      </c>
      <c r="AO62" s="1">
        <f t="shared" si="1"/>
        <v>0.448979591836735</v>
      </c>
      <c r="AP62" s="1">
        <f t="shared" si="1"/>
        <v>0</v>
      </c>
      <c r="AR62" s="15">
        <v>0.73469387755102</v>
      </c>
      <c r="AS62" s="15">
        <v>0.102040816326531</v>
      </c>
      <c r="AT62" s="1" t="s">
        <v>40</v>
      </c>
      <c r="AU62" s="7">
        <v>0.63265306122449</v>
      </c>
      <c r="AV62" s="1">
        <v>0.102040816326531</v>
      </c>
      <c r="AW62" s="1">
        <v>0.244897959183673</v>
      </c>
      <c r="AX62" s="1">
        <v>0.0204081632653061</v>
      </c>
    </row>
    <row r="63" s="1" customFormat="1" spans="1:45">
      <c r="A63" s="3" t="s">
        <v>0</v>
      </c>
      <c r="B63" s="4" t="s">
        <v>1</v>
      </c>
      <c r="C63" s="4"/>
      <c r="D63" s="4"/>
      <c r="E63" s="4" t="s">
        <v>2</v>
      </c>
      <c r="F63" s="4"/>
      <c r="G63" s="4" t="s">
        <v>3</v>
      </c>
      <c r="H63" s="4"/>
      <c r="I63" s="4" t="s">
        <v>4</v>
      </c>
      <c r="J63" s="4"/>
      <c r="K63" s="4" t="s">
        <v>5</v>
      </c>
      <c r="L63" s="4"/>
      <c r="M63" s="1" t="s">
        <v>87</v>
      </c>
      <c r="N63" s="4" t="s">
        <v>2</v>
      </c>
      <c r="O63" s="4"/>
      <c r="P63" s="4" t="s">
        <v>3</v>
      </c>
      <c r="Q63" s="4"/>
      <c r="R63" s="4" t="s">
        <v>4</v>
      </c>
      <c r="S63" s="4"/>
      <c r="T63" s="4" t="s">
        <v>5</v>
      </c>
      <c r="U63" s="4"/>
      <c r="AF63" s="1">
        <f t="shared" ref="AF63:AJ63" si="2">AF61/49</f>
        <v>0.285714285714286</v>
      </c>
      <c r="AG63" s="1">
        <f t="shared" si="2"/>
        <v>0.0816326530612245</v>
      </c>
      <c r="AI63" s="1">
        <f t="shared" si="2"/>
        <v>0.36734693877551</v>
      </c>
      <c r="AJ63" s="1">
        <f t="shared" si="2"/>
        <v>0.0816326530612245</v>
      </c>
      <c r="AL63" s="1">
        <f t="shared" ref="AL63:AP63" si="3">AL61/49</f>
        <v>0.469387755102041</v>
      </c>
      <c r="AM63" s="1">
        <f t="shared" si="3"/>
        <v>0.0408163265306122</v>
      </c>
      <c r="AO63" s="1">
        <f t="shared" si="3"/>
        <v>0.551020408163265</v>
      </c>
      <c r="AP63" s="1">
        <f t="shared" si="3"/>
        <v>0.0612244897959184</v>
      </c>
      <c r="AR63" s="15">
        <v>0.26530612244898</v>
      </c>
      <c r="AS63" s="15">
        <v>0.0204081632653061</v>
      </c>
    </row>
    <row r="64" s="1" customFormat="1" spans="1:31">
      <c r="A64" s="2" t="s">
        <v>7</v>
      </c>
      <c r="B64" s="5" t="s">
        <v>11</v>
      </c>
      <c r="C64" s="6" t="s">
        <v>12</v>
      </c>
      <c r="D64" s="1">
        <v>52737</v>
      </c>
      <c r="E64" s="6">
        <v>0.403828618307933</v>
      </c>
      <c r="F64" s="6">
        <v>0.192960573755029</v>
      </c>
      <c r="G64" s="6">
        <v>0.371857215446133</v>
      </c>
      <c r="H64" s="6">
        <v>0.233951325825639</v>
      </c>
      <c r="I64" s="6">
        <v>-0.201693215699741</v>
      </c>
      <c r="J64" s="6">
        <v>0.529601223830221</v>
      </c>
      <c r="K64" s="6">
        <v>-0.10033322844668</v>
      </c>
      <c r="L64" s="6">
        <v>0.756370474305995</v>
      </c>
      <c r="M64" s="9">
        <v>0.515318551498631</v>
      </c>
      <c r="N64" s="6">
        <v>0.304681446793668</v>
      </c>
      <c r="O64" s="6">
        <v>0.335587095754912</v>
      </c>
      <c r="P64" s="6">
        <v>-0.0763946956954617</v>
      </c>
      <c r="Q64" s="6">
        <v>0.813452713865876</v>
      </c>
      <c r="R64" s="6">
        <v>0.374899133107604</v>
      </c>
      <c r="S64" s="6">
        <v>0.229845215343671</v>
      </c>
      <c r="T64" s="6">
        <v>-0.461424525673189</v>
      </c>
      <c r="U64" s="6">
        <v>0.131055650823114</v>
      </c>
      <c r="W64" s="6" t="s">
        <v>16</v>
      </c>
      <c r="X64" s="6" t="s">
        <v>12</v>
      </c>
      <c r="Y64" s="6">
        <v>0.173686456738751</v>
      </c>
      <c r="Z64" s="6">
        <v>0.631316526450171</v>
      </c>
      <c r="AA64" s="15" t="s">
        <v>23</v>
      </c>
      <c r="AB64" s="1" t="s">
        <v>24</v>
      </c>
      <c r="AC64" s="1" t="s">
        <v>25</v>
      </c>
      <c r="AD64" s="1" t="s">
        <v>26</v>
      </c>
      <c r="AE64" s="1" t="s">
        <v>27</v>
      </c>
    </row>
    <row r="65" s="1" customFormat="1" spans="1:31">
      <c r="A65" s="2" t="s">
        <v>7</v>
      </c>
      <c r="B65" s="5" t="s">
        <v>11</v>
      </c>
      <c r="C65" s="6" t="s">
        <v>17</v>
      </c>
      <c r="D65" s="1">
        <v>52853</v>
      </c>
      <c r="E65" s="6">
        <v>0.125879878684552</v>
      </c>
      <c r="F65" s="6">
        <v>0.728959757300899</v>
      </c>
      <c r="G65" s="6">
        <v>-0.601367632334764</v>
      </c>
      <c r="H65" s="6">
        <v>0.0659067586539161</v>
      </c>
      <c r="I65" s="6">
        <v>-0.0405001603419392</v>
      </c>
      <c r="J65" s="6">
        <v>0.911551073916776</v>
      </c>
      <c r="K65" s="6">
        <v>-0.306933223929612</v>
      </c>
      <c r="L65" s="6">
        <v>0.388341218847389</v>
      </c>
      <c r="M65" s="9">
        <v>0.4403616323981</v>
      </c>
      <c r="N65" s="6">
        <v>0.185710891568686</v>
      </c>
      <c r="O65" s="6">
        <v>0.607480591461213</v>
      </c>
      <c r="P65" s="6">
        <v>0.100662896277552</v>
      </c>
      <c r="Q65" s="6">
        <v>0.782017672872852</v>
      </c>
      <c r="R65" s="6">
        <v>-0.449642687662852</v>
      </c>
      <c r="S65" s="6">
        <v>0.192306027680403</v>
      </c>
      <c r="T65" s="6">
        <v>0.0671804426476026</v>
      </c>
      <c r="U65" s="6">
        <v>0.853704236670822</v>
      </c>
      <c r="W65" s="6" t="s">
        <v>19</v>
      </c>
      <c r="X65" s="6" t="s">
        <v>17</v>
      </c>
      <c r="Y65" s="6">
        <v>0.204198460832602</v>
      </c>
      <c r="Z65" s="6">
        <v>0.627637832464312</v>
      </c>
      <c r="AA65" s="15" t="s">
        <v>88</v>
      </c>
      <c r="AB65" s="1">
        <v>0.555555555555556</v>
      </c>
      <c r="AC65" s="16">
        <v>0</v>
      </c>
      <c r="AD65" s="1">
        <v>0.444444444444444</v>
      </c>
      <c r="AE65" s="1">
        <v>0</v>
      </c>
    </row>
    <row r="66" s="1" customFormat="1" spans="1:31">
      <c r="A66" s="2" t="s">
        <v>7</v>
      </c>
      <c r="B66" s="5" t="s">
        <v>11</v>
      </c>
      <c r="C66" s="6" t="s">
        <v>20</v>
      </c>
      <c r="D66" s="1">
        <v>52853</v>
      </c>
      <c r="E66" s="9">
        <v>-0.236136013716989</v>
      </c>
      <c r="F66" s="6">
        <v>0.51130443542882</v>
      </c>
      <c r="G66" s="6">
        <v>0.00337703582453472</v>
      </c>
      <c r="H66" s="6">
        <v>0.992612818380374</v>
      </c>
      <c r="I66" s="6">
        <v>-0.458336410656015</v>
      </c>
      <c r="J66" s="6">
        <v>0.182790322494626</v>
      </c>
      <c r="K66" s="6">
        <v>-0.602612239078862</v>
      </c>
      <c r="L66" s="6">
        <v>0.0652010229983413</v>
      </c>
      <c r="M66" s="13">
        <v>0.000764614143736428</v>
      </c>
      <c r="N66" s="6">
        <v>0.0949929113637609</v>
      </c>
      <c r="O66" s="6">
        <v>0.794067964125332</v>
      </c>
      <c r="P66" s="6">
        <v>0.184280182202889</v>
      </c>
      <c r="Q66" s="6">
        <v>0.61029981419841</v>
      </c>
      <c r="R66" s="6">
        <v>-0.205363320188475</v>
      </c>
      <c r="S66" s="6">
        <v>0.569239097197214</v>
      </c>
      <c r="T66" s="6">
        <v>0.0987121206751991</v>
      </c>
      <c r="U66" s="6">
        <v>0.786159029966676</v>
      </c>
      <c r="W66" s="6" t="s">
        <v>22</v>
      </c>
      <c r="X66" s="6" t="s">
        <v>20</v>
      </c>
      <c r="Y66" s="6">
        <v>-0.255196598390991</v>
      </c>
      <c r="Z66" s="6">
        <v>0.541875185527922</v>
      </c>
      <c r="AA66" s="15" t="s">
        <v>89</v>
      </c>
      <c r="AB66" s="1">
        <v>0.555555555555556</v>
      </c>
      <c r="AC66" s="16">
        <v>0</v>
      </c>
      <c r="AD66" s="1">
        <v>0.444444444444444</v>
      </c>
      <c r="AE66" s="1">
        <v>0</v>
      </c>
    </row>
    <row r="67" s="1" customFormat="1" spans="1:32">
      <c r="A67" s="2" t="s">
        <v>7</v>
      </c>
      <c r="B67" s="5" t="s">
        <v>11</v>
      </c>
      <c r="C67" s="6" t="s">
        <v>28</v>
      </c>
      <c r="D67" s="1">
        <v>52853</v>
      </c>
      <c r="E67" s="9">
        <v>0.391603334346613</v>
      </c>
      <c r="F67" s="6">
        <v>0.263088973267115</v>
      </c>
      <c r="G67" s="6">
        <v>-0.339553024134384</v>
      </c>
      <c r="H67" s="6">
        <v>0.337104945322941</v>
      </c>
      <c r="I67" s="6">
        <v>-0.814153046181166</v>
      </c>
      <c r="J67" s="6">
        <v>0.004142934254068</v>
      </c>
      <c r="K67" s="6">
        <v>-0.198981005387867</v>
      </c>
      <c r="L67" s="6">
        <v>0.581557375621839</v>
      </c>
      <c r="M67" s="6">
        <v>0.0845631602736875</v>
      </c>
      <c r="N67" s="13">
        <v>0.122440409792421</v>
      </c>
      <c r="O67" s="6">
        <v>0.736140955096072</v>
      </c>
      <c r="P67" s="6">
        <v>-0.16048709703297</v>
      </c>
      <c r="Q67" s="6">
        <v>0.657837680521764</v>
      </c>
      <c r="R67" s="6">
        <v>0.0142766794973707</v>
      </c>
      <c r="S67" s="6">
        <v>0.968776128279589</v>
      </c>
      <c r="T67" s="6">
        <v>0.110044393952908</v>
      </c>
      <c r="U67" s="6">
        <v>0.762171857745276</v>
      </c>
      <c r="W67" s="6" t="s">
        <v>29</v>
      </c>
      <c r="X67" s="6" t="s">
        <v>28</v>
      </c>
      <c r="Y67" s="6">
        <v>0.499423773891346</v>
      </c>
      <c r="Z67" s="6">
        <v>0.207639455340445</v>
      </c>
      <c r="AA67" s="15" t="s">
        <v>90</v>
      </c>
      <c r="AB67" s="16">
        <v>0.333333333333333</v>
      </c>
      <c r="AC67" s="1">
        <v>0.166666666666667</v>
      </c>
      <c r="AD67" s="1">
        <v>0.5</v>
      </c>
      <c r="AE67" s="1">
        <v>0</v>
      </c>
      <c r="AF67" s="1" t="s">
        <v>91</v>
      </c>
    </row>
    <row r="68" s="1" customFormat="1" spans="1:50">
      <c r="A68" s="2" t="s">
        <v>7</v>
      </c>
      <c r="B68" s="5" t="s">
        <v>11</v>
      </c>
      <c r="C68" s="6" t="s">
        <v>31</v>
      </c>
      <c r="D68" s="1">
        <v>52853</v>
      </c>
      <c r="E68" s="9">
        <v>0.449241056575841</v>
      </c>
      <c r="F68" s="6">
        <v>0.192752492587112</v>
      </c>
      <c r="G68" s="6">
        <v>-0.0112942412207105</v>
      </c>
      <c r="H68" s="6">
        <v>0.975296998602486</v>
      </c>
      <c r="I68" s="6">
        <v>-0.613155545059714</v>
      </c>
      <c r="J68" s="6">
        <v>0.0594206121207547</v>
      </c>
      <c r="K68" s="6">
        <v>-0.147316559719686</v>
      </c>
      <c r="L68" s="6">
        <v>0.6846480618221</v>
      </c>
      <c r="M68" s="6">
        <v>0.292039356021114</v>
      </c>
      <c r="N68" s="6">
        <v>0.078980122931381</v>
      </c>
      <c r="O68" s="6">
        <v>0.828304662440873</v>
      </c>
      <c r="P68" s="6">
        <v>0.179080819184291</v>
      </c>
      <c r="Q68" s="6">
        <v>0.620583871522299</v>
      </c>
      <c r="R68" s="6">
        <v>0.422949991629992</v>
      </c>
      <c r="S68" s="6">
        <v>0.223295882214371</v>
      </c>
      <c r="T68" s="6">
        <v>0.0845636125618647</v>
      </c>
      <c r="U68" s="6">
        <v>0.81633424509776</v>
      </c>
      <c r="W68" s="6" t="s">
        <v>32</v>
      </c>
      <c r="X68" s="6" t="s">
        <v>31</v>
      </c>
      <c r="Y68" s="6">
        <v>0.307145187656577</v>
      </c>
      <c r="Z68" s="6">
        <v>0.459297104068867</v>
      </c>
      <c r="AA68" s="15" t="s">
        <v>92</v>
      </c>
      <c r="AB68" s="1">
        <v>0.722222222222222</v>
      </c>
      <c r="AC68" s="1">
        <v>0</v>
      </c>
      <c r="AD68" s="1">
        <v>0.277777777777778</v>
      </c>
      <c r="AE68" s="1">
        <v>0</v>
      </c>
      <c r="AF68" s="4" t="s">
        <v>2</v>
      </c>
      <c r="AG68" s="4"/>
      <c r="AH68" s="4" t="s">
        <v>3</v>
      </c>
      <c r="AI68" s="4"/>
      <c r="AJ68" s="4" t="s">
        <v>4</v>
      </c>
      <c r="AK68" s="4"/>
      <c r="AL68" s="4" t="s">
        <v>5</v>
      </c>
      <c r="AM68" s="4"/>
      <c r="AN68" s="15"/>
      <c r="AO68" s="4" t="s">
        <v>2</v>
      </c>
      <c r="AP68" s="4"/>
      <c r="AQ68" s="4" t="s">
        <v>3</v>
      </c>
      <c r="AR68" s="4"/>
      <c r="AS68" s="4" t="s">
        <v>4</v>
      </c>
      <c r="AT68" s="4"/>
      <c r="AU68" s="4" t="s">
        <v>5</v>
      </c>
      <c r="AV68" s="4"/>
      <c r="AW68" s="5" t="s">
        <v>40</v>
      </c>
      <c r="AX68" s="5"/>
    </row>
    <row r="69" s="1" customFormat="1" spans="1:50">
      <c r="A69" s="2" t="s">
        <v>7</v>
      </c>
      <c r="B69" s="5" t="s">
        <v>11</v>
      </c>
      <c r="C69" s="6" t="s">
        <v>34</v>
      </c>
      <c r="D69" s="1">
        <v>52853</v>
      </c>
      <c r="E69" s="9">
        <v>0.359507169229619</v>
      </c>
      <c r="F69" s="6">
        <v>0.307580027243276</v>
      </c>
      <c r="G69" s="6">
        <v>0.74635401041013</v>
      </c>
      <c r="H69" s="6">
        <v>0.0131583608358322</v>
      </c>
      <c r="I69" s="6">
        <v>-0.68346257156624</v>
      </c>
      <c r="J69" s="6">
        <v>0.0293390986235232</v>
      </c>
      <c r="K69" s="6">
        <v>0.0806385353668738</v>
      </c>
      <c r="L69" s="6">
        <v>0.824745768725233</v>
      </c>
      <c r="M69" s="6">
        <v>-0.238043068746565</v>
      </c>
      <c r="N69" s="6">
        <v>-0.271974955388461</v>
      </c>
      <c r="O69" s="6">
        <v>0.447144318809792</v>
      </c>
      <c r="P69" s="6">
        <v>0.517479592666761</v>
      </c>
      <c r="Q69" s="6">
        <v>0.125543772275104</v>
      </c>
      <c r="R69" s="6">
        <v>0.564794020958111</v>
      </c>
      <c r="S69" s="6">
        <v>0.0889219181408532</v>
      </c>
      <c r="T69" s="6">
        <v>0.368554202929225</v>
      </c>
      <c r="U69" s="6">
        <v>0.294660959062547</v>
      </c>
      <c r="W69" s="6" t="s">
        <v>35</v>
      </c>
      <c r="X69" s="6" t="s">
        <v>34</v>
      </c>
      <c r="Y69" s="6">
        <v>0.0283048043423969</v>
      </c>
      <c r="Z69" s="6">
        <v>0.946956830960367</v>
      </c>
      <c r="AA69" s="15" t="s">
        <v>93</v>
      </c>
      <c r="AB69" s="16">
        <v>0.111111111111111</v>
      </c>
      <c r="AC69" s="1">
        <v>0.0555555555555556</v>
      </c>
      <c r="AD69" s="1">
        <v>0.611111111111111</v>
      </c>
      <c r="AE69" s="1">
        <v>0.222222222222222</v>
      </c>
      <c r="AF69" s="15">
        <v>0.612244897959184</v>
      </c>
      <c r="AG69" s="15">
        <v>0.0204081632653061</v>
      </c>
      <c r="AH69" s="15">
        <v>0.530612244897959</v>
      </c>
      <c r="AI69" s="15">
        <v>0.0612244897959184</v>
      </c>
      <c r="AJ69" s="15">
        <v>0.285714285714286</v>
      </c>
      <c r="AK69" s="15">
        <v>0.0204081632653061</v>
      </c>
      <c r="AL69" s="15">
        <v>0.530612244897959</v>
      </c>
      <c r="AM69" s="15">
        <v>0.102040816326531</v>
      </c>
      <c r="AN69" s="15">
        <v>0</v>
      </c>
      <c r="AO69" s="15">
        <v>0.63265306122449</v>
      </c>
      <c r="AP69" s="15">
        <v>0.0204081632653061</v>
      </c>
      <c r="AQ69" s="15">
        <v>0.653061224489796</v>
      </c>
      <c r="AR69" s="15">
        <v>0.102040816326531</v>
      </c>
      <c r="AS69" s="15">
        <v>0.551020408163265</v>
      </c>
      <c r="AT69" s="15">
        <v>0</v>
      </c>
      <c r="AU69" s="15">
        <v>0.551020408163265</v>
      </c>
      <c r="AV69" s="15">
        <v>0</v>
      </c>
      <c r="AW69" s="15">
        <v>0.63265306122449</v>
      </c>
      <c r="AX69" s="15">
        <v>0.0612244897959184</v>
      </c>
    </row>
    <row r="70" s="1" customFormat="1" spans="1:50">
      <c r="A70" s="2" t="s">
        <v>7</v>
      </c>
      <c r="B70" s="5" t="s">
        <v>11</v>
      </c>
      <c r="C70" s="6" t="s">
        <v>36</v>
      </c>
      <c r="D70" s="1">
        <v>52853</v>
      </c>
      <c r="E70" s="6">
        <v>-0.178366609532498</v>
      </c>
      <c r="F70" s="6">
        <v>0.622001223253043</v>
      </c>
      <c r="G70" s="6">
        <v>0.187037313375282</v>
      </c>
      <c r="H70" s="6">
        <v>0.604871022309392</v>
      </c>
      <c r="I70" s="6">
        <v>-0.0997221149284055</v>
      </c>
      <c r="J70" s="6">
        <v>0.784014275013596</v>
      </c>
      <c r="K70" s="6">
        <v>0.216191810912392</v>
      </c>
      <c r="L70" s="6">
        <v>0.548571189777949</v>
      </c>
      <c r="M70" s="9">
        <v>-0.748396294061424</v>
      </c>
      <c r="N70" s="6">
        <v>-0.565714686491796</v>
      </c>
      <c r="O70" s="6">
        <v>0.0882873028218805</v>
      </c>
      <c r="P70" s="6">
        <v>-0.237440396832159</v>
      </c>
      <c r="Q70" s="6">
        <v>0.508904639536194</v>
      </c>
      <c r="R70" s="6">
        <v>0.430498966751826</v>
      </c>
      <c r="S70" s="6">
        <v>0.214260516021599</v>
      </c>
      <c r="T70" s="6">
        <v>0.00450604657624818</v>
      </c>
      <c r="U70" s="6">
        <v>0.99014322325257</v>
      </c>
      <c r="W70" s="6" t="s">
        <v>37</v>
      </c>
      <c r="X70" s="6" t="s">
        <v>36</v>
      </c>
      <c r="Y70" s="6">
        <v>0.021210144674166</v>
      </c>
      <c r="Z70" s="6">
        <v>0.960242904392239</v>
      </c>
      <c r="AA70" s="15" t="s">
        <v>94</v>
      </c>
      <c r="AB70" s="1">
        <v>0.555555555555556</v>
      </c>
      <c r="AC70" s="1">
        <v>0</v>
      </c>
      <c r="AD70" s="1">
        <v>0.444444444444444</v>
      </c>
      <c r="AE70" s="1">
        <v>0</v>
      </c>
      <c r="AF70" s="15">
        <v>0.387755102040816</v>
      </c>
      <c r="AG70" s="15">
        <v>0</v>
      </c>
      <c r="AH70" s="15">
        <v>0.469387755102041</v>
      </c>
      <c r="AI70" s="15">
        <v>0</v>
      </c>
      <c r="AJ70" s="15">
        <v>0.714285714285714</v>
      </c>
      <c r="AK70" s="15">
        <v>0.102040816326531</v>
      </c>
      <c r="AL70" s="15">
        <v>0.469387755102041</v>
      </c>
      <c r="AM70" s="15">
        <v>0.0612244897959184</v>
      </c>
      <c r="AN70" s="15">
        <v>0</v>
      </c>
      <c r="AO70" s="15">
        <v>0.36734693877551</v>
      </c>
      <c r="AP70" s="15">
        <v>0</v>
      </c>
      <c r="AQ70" s="15">
        <v>0.346938775510204</v>
      </c>
      <c r="AR70" s="15">
        <v>0.0204081632653061</v>
      </c>
      <c r="AS70" s="15">
        <v>0.448979591836735</v>
      </c>
      <c r="AT70" s="15">
        <v>0</v>
      </c>
      <c r="AU70" s="15">
        <v>0.448979591836735</v>
      </c>
      <c r="AV70" s="15">
        <v>0</v>
      </c>
      <c r="AW70" s="15">
        <v>0.36734693877551</v>
      </c>
      <c r="AX70" s="15">
        <v>0.0612244897959184</v>
      </c>
    </row>
    <row r="71" s="1" customFormat="1" spans="1:31">
      <c r="A71" s="2" t="s">
        <v>7</v>
      </c>
      <c r="B71" s="5" t="s">
        <v>11</v>
      </c>
      <c r="C71" s="6" t="s">
        <v>38</v>
      </c>
      <c r="D71" s="1">
        <v>52853</v>
      </c>
      <c r="E71" s="6">
        <v>0.0523679754854548</v>
      </c>
      <c r="F71" s="6">
        <v>0.885758693078531</v>
      </c>
      <c r="G71" s="6">
        <v>-0.260936093053845</v>
      </c>
      <c r="H71" s="6">
        <v>0.466504600491513</v>
      </c>
      <c r="I71" s="6">
        <v>0.373658486018896</v>
      </c>
      <c r="J71" s="6">
        <v>0.287502382214229</v>
      </c>
      <c r="K71" s="6">
        <v>0.108374201578172</v>
      </c>
      <c r="L71" s="6">
        <v>0.765696230186539</v>
      </c>
      <c r="M71" s="6">
        <v>0.299855131899539</v>
      </c>
      <c r="N71" s="9">
        <v>0.31805594374122</v>
      </c>
      <c r="O71" s="6">
        <v>0.370465169354743</v>
      </c>
      <c r="P71" s="6">
        <v>-0.365694720101572</v>
      </c>
      <c r="Q71" s="6">
        <v>0.298712444289714</v>
      </c>
      <c r="R71" s="6">
        <v>-0.0250491407182952</v>
      </c>
      <c r="S71" s="6">
        <v>0.94523937337448</v>
      </c>
      <c r="T71" s="6">
        <v>-0.423668750056899</v>
      </c>
      <c r="U71" s="6">
        <v>0.222426406187804</v>
      </c>
      <c r="W71" s="6" t="s">
        <v>39</v>
      </c>
      <c r="X71" s="6" t="s">
        <v>38</v>
      </c>
      <c r="Y71" s="6">
        <v>0.345442638900653</v>
      </c>
      <c r="Z71" s="6">
        <v>0.40197776873172</v>
      </c>
      <c r="AA71" s="15" t="s">
        <v>95</v>
      </c>
      <c r="AB71" s="16">
        <v>0.333333333333333</v>
      </c>
      <c r="AC71" s="1">
        <v>0.0555555555555556</v>
      </c>
      <c r="AD71" s="1">
        <v>0.444444444444445</v>
      </c>
      <c r="AE71" s="1">
        <v>0.166666666666667</v>
      </c>
    </row>
    <row r="72" s="1" customFormat="1" spans="1:37">
      <c r="A72" s="2" t="s">
        <v>7</v>
      </c>
      <c r="B72" s="5" t="s">
        <v>11</v>
      </c>
      <c r="C72" s="6" t="s">
        <v>41</v>
      </c>
      <c r="D72" s="1">
        <v>52853</v>
      </c>
      <c r="E72" s="9">
        <v>0.782430912818233</v>
      </c>
      <c r="F72" s="6">
        <v>0.037571217890993</v>
      </c>
      <c r="G72" s="6">
        <v>-0.636961545366634</v>
      </c>
      <c r="H72" s="6">
        <v>0.123934123580402</v>
      </c>
      <c r="I72" s="6">
        <v>-0.753215677135873</v>
      </c>
      <c r="J72" s="6">
        <v>0.0506147077279779</v>
      </c>
      <c r="K72" s="6">
        <v>-0.82658577043146</v>
      </c>
      <c r="L72" s="6">
        <v>0.0218564161807446</v>
      </c>
      <c r="M72" s="6">
        <v>0.413301405915139</v>
      </c>
      <c r="N72" s="6">
        <v>-0.183932768683637</v>
      </c>
      <c r="O72" s="6">
        <v>0.69300109346537</v>
      </c>
      <c r="P72" s="6">
        <v>0.279233393570571</v>
      </c>
      <c r="Q72" s="6">
        <v>0.544221275437423</v>
      </c>
      <c r="R72" s="6">
        <v>0.197552777503756</v>
      </c>
      <c r="S72" s="6">
        <v>0.671129873967003</v>
      </c>
      <c r="T72" s="6">
        <v>0.224689285388363</v>
      </c>
      <c r="U72" s="6">
        <v>0.628110923565619</v>
      </c>
      <c r="W72" s="6" t="s">
        <v>43</v>
      </c>
      <c r="X72" s="6" t="s">
        <v>41</v>
      </c>
      <c r="Y72" s="6">
        <v>-0.0648096265161829</v>
      </c>
      <c r="Z72" s="6">
        <v>0.91753962377244</v>
      </c>
      <c r="AA72" s="15" t="s">
        <v>96</v>
      </c>
      <c r="AB72" s="1">
        <v>0.722222222222222</v>
      </c>
      <c r="AC72" s="16">
        <v>0</v>
      </c>
      <c r="AD72" s="1">
        <v>0.277777777777778</v>
      </c>
      <c r="AE72" s="1">
        <v>0</v>
      </c>
      <c r="AG72" s="15" t="s">
        <v>23</v>
      </c>
      <c r="AH72" s="1" t="s">
        <v>24</v>
      </c>
      <c r="AI72" s="1" t="s">
        <v>25</v>
      </c>
      <c r="AJ72" s="1" t="s">
        <v>26</v>
      </c>
      <c r="AK72" s="1" t="s">
        <v>27</v>
      </c>
    </row>
    <row r="73" s="1" customFormat="1" spans="1:50">
      <c r="A73" s="2" t="s">
        <v>7</v>
      </c>
      <c r="B73" s="5" t="s">
        <v>11</v>
      </c>
      <c r="C73" s="6" t="s">
        <v>44</v>
      </c>
      <c r="D73" s="1">
        <v>52853</v>
      </c>
      <c r="E73" s="9">
        <v>0.287864037971302</v>
      </c>
      <c r="F73" s="6">
        <v>0.419934955616174</v>
      </c>
      <c r="G73" s="6">
        <v>0.154596452244534</v>
      </c>
      <c r="H73" s="6">
        <v>0.669787533752677</v>
      </c>
      <c r="I73" s="6">
        <v>-0.70899585436466</v>
      </c>
      <c r="J73" s="6">
        <v>0.0216914895429679</v>
      </c>
      <c r="K73" s="6">
        <v>-0.45629754044747</v>
      </c>
      <c r="L73" s="6">
        <v>0.184996489861767</v>
      </c>
      <c r="M73" s="13">
        <v>0.0301750984404881</v>
      </c>
      <c r="N73" s="6">
        <v>-0.235663620087123</v>
      </c>
      <c r="O73" s="6">
        <v>0.512174702977851</v>
      </c>
      <c r="P73" s="6">
        <v>0.573487044870791</v>
      </c>
      <c r="Q73" s="6">
        <v>0.0830453672652262</v>
      </c>
      <c r="R73" s="6">
        <v>0.326944980227018</v>
      </c>
      <c r="S73" s="6">
        <v>0.356478570185504</v>
      </c>
      <c r="T73" s="6">
        <v>0.301328304711885</v>
      </c>
      <c r="U73" s="6">
        <v>0.397504721786677</v>
      </c>
      <c r="W73" s="6" t="s">
        <v>45</v>
      </c>
      <c r="X73" s="6" t="s">
        <v>44</v>
      </c>
      <c r="Y73" s="6">
        <v>0.674559651753638</v>
      </c>
      <c r="Z73" s="6">
        <v>0.0665062715542821</v>
      </c>
      <c r="AA73" s="1" t="s">
        <v>40</v>
      </c>
      <c r="AB73" s="1">
        <v>0.611111111111111</v>
      </c>
      <c r="AC73" s="16">
        <v>0</v>
      </c>
      <c r="AD73" s="1">
        <v>0.388888888888889</v>
      </c>
      <c r="AE73" s="1">
        <v>0</v>
      </c>
      <c r="AG73" s="15" t="s">
        <v>30</v>
      </c>
      <c r="AH73" s="7">
        <v>0.591836734693878</v>
      </c>
      <c r="AI73" s="15">
        <v>0.0204081632653061</v>
      </c>
      <c r="AJ73" s="15">
        <v>0.387755102040816</v>
      </c>
      <c r="AK73" s="15">
        <v>0</v>
      </c>
      <c r="AT73" s="15" t="s">
        <v>23</v>
      </c>
      <c r="AU73" s="1" t="s">
        <v>24</v>
      </c>
      <c r="AV73" s="1" t="s">
        <v>25</v>
      </c>
      <c r="AW73" s="1" t="s">
        <v>26</v>
      </c>
      <c r="AX73" s="1" t="s">
        <v>27</v>
      </c>
    </row>
    <row r="74" s="1" customFormat="1" spans="1:50">
      <c r="A74" s="2" t="s">
        <v>7</v>
      </c>
      <c r="B74" s="5" t="s">
        <v>11</v>
      </c>
      <c r="C74" s="6" t="s">
        <v>20</v>
      </c>
      <c r="D74" s="1">
        <v>52856</v>
      </c>
      <c r="E74" s="6">
        <v>-0.582020786067562</v>
      </c>
      <c r="F74" s="6">
        <v>0.0180140238553614</v>
      </c>
      <c r="G74" s="6">
        <v>0.0297233735752079</v>
      </c>
      <c r="H74" s="6">
        <v>0.91298654074819</v>
      </c>
      <c r="I74" s="6">
        <v>0.588225045373208</v>
      </c>
      <c r="J74" s="6">
        <v>0.0165420736349842</v>
      </c>
      <c r="K74" s="6">
        <v>0.32542458789799</v>
      </c>
      <c r="L74" s="6">
        <v>0.218723024827178</v>
      </c>
      <c r="M74" s="6">
        <v>-0.145171964410233</v>
      </c>
      <c r="N74" s="9">
        <v>0.33005169521339</v>
      </c>
      <c r="O74" s="6">
        <v>0.211860697570759</v>
      </c>
      <c r="P74" s="6">
        <v>0.0971558851225147</v>
      </c>
      <c r="Q74" s="6">
        <v>0.720382393724786</v>
      </c>
      <c r="R74" s="6">
        <v>0.112030238258709</v>
      </c>
      <c r="S74" s="6">
        <v>0.679551690428582</v>
      </c>
      <c r="T74" s="6">
        <v>0.400808122687129</v>
      </c>
      <c r="U74" s="6">
        <v>0.123919798417154</v>
      </c>
      <c r="W74" s="6" t="s">
        <v>22</v>
      </c>
      <c r="X74" s="6" t="s">
        <v>20</v>
      </c>
      <c r="Y74" s="6">
        <v>0.38253064151727</v>
      </c>
      <c r="Z74" s="6">
        <v>0.177055374583802</v>
      </c>
      <c r="AG74" s="15" t="s">
        <v>33</v>
      </c>
      <c r="AH74" s="7">
        <v>0.469387755102041</v>
      </c>
      <c r="AI74" s="15">
        <v>0.0612244897959184</v>
      </c>
      <c r="AJ74" s="15">
        <v>0.469387755102041</v>
      </c>
      <c r="AK74" s="15">
        <v>0</v>
      </c>
      <c r="AT74" s="15" t="s">
        <v>30</v>
      </c>
      <c r="AU74" s="7">
        <v>0.612244897959184</v>
      </c>
      <c r="AV74" s="15">
        <v>0.0204081632653061</v>
      </c>
      <c r="AW74" s="15">
        <v>0.36734693877551</v>
      </c>
      <c r="AX74" s="15">
        <v>0</v>
      </c>
    </row>
    <row r="75" s="1" customFormat="1" spans="1:50">
      <c r="A75" s="2" t="s">
        <v>7</v>
      </c>
      <c r="B75" s="5" t="s">
        <v>11</v>
      </c>
      <c r="C75" s="6" t="s">
        <v>34</v>
      </c>
      <c r="D75" s="1">
        <v>52856</v>
      </c>
      <c r="E75" s="6">
        <v>-0.368688027496581</v>
      </c>
      <c r="F75" s="6">
        <v>0.159958442589423</v>
      </c>
      <c r="G75" s="6">
        <v>-0.0137248981119565</v>
      </c>
      <c r="H75" s="6">
        <v>0.959765287580723</v>
      </c>
      <c r="I75" s="6">
        <v>0.365891043155411</v>
      </c>
      <c r="J75" s="6">
        <v>0.163396709228702</v>
      </c>
      <c r="K75" s="6">
        <v>0.213557553026115</v>
      </c>
      <c r="L75" s="6">
        <v>0.427100294497681</v>
      </c>
      <c r="M75" s="6">
        <v>-0.00361410617792849</v>
      </c>
      <c r="N75" s="9">
        <v>0.254677035068414</v>
      </c>
      <c r="O75" s="6">
        <v>0.341149077139437</v>
      </c>
      <c r="P75" s="6">
        <v>0.0894739495536233</v>
      </c>
      <c r="Q75" s="6">
        <v>0.741758308530899</v>
      </c>
      <c r="R75" s="6">
        <v>-0.00313268322345656</v>
      </c>
      <c r="S75" s="6">
        <v>0.990813219649473</v>
      </c>
      <c r="T75" s="6">
        <v>0.371995469830125</v>
      </c>
      <c r="U75" s="6">
        <v>0.15595575211649</v>
      </c>
      <c r="W75" s="6" t="s">
        <v>35</v>
      </c>
      <c r="X75" s="6" t="s">
        <v>34</v>
      </c>
      <c r="Y75" s="6">
        <v>0.147581107343538</v>
      </c>
      <c r="Z75" s="6">
        <v>0.614622358522705</v>
      </c>
      <c r="AC75" s="1">
        <f>AD69+AE69</f>
        <v>0.833333333333333</v>
      </c>
      <c r="AG75" s="15" t="s">
        <v>4</v>
      </c>
      <c r="AH75" s="15">
        <v>0.26530612244898</v>
      </c>
      <c r="AI75" s="15">
        <v>0.0204081632653061</v>
      </c>
      <c r="AJ75" s="15">
        <v>0.612244897959183</v>
      </c>
      <c r="AK75" s="15">
        <v>0.102040816326531</v>
      </c>
      <c r="AT75" s="15" t="s">
        <v>33</v>
      </c>
      <c r="AU75" s="7">
        <v>0.551020408163265</v>
      </c>
      <c r="AV75" s="15">
        <v>0.102040816326531</v>
      </c>
      <c r="AW75" s="15">
        <v>0.326530612244898</v>
      </c>
      <c r="AX75" s="15">
        <v>0.0204081632653061</v>
      </c>
    </row>
    <row r="76" s="1" customFormat="1" spans="1:50">
      <c r="A76" s="2" t="s">
        <v>7</v>
      </c>
      <c r="B76" s="5" t="s">
        <v>11</v>
      </c>
      <c r="C76" s="6" t="s">
        <v>12</v>
      </c>
      <c r="D76" s="1">
        <v>52943</v>
      </c>
      <c r="E76" s="6">
        <v>-0.0821231907845782</v>
      </c>
      <c r="F76" s="6">
        <v>0.810296829895659</v>
      </c>
      <c r="G76" s="6">
        <v>-0.20846460774719</v>
      </c>
      <c r="H76" s="6">
        <v>0.538468498731814</v>
      </c>
      <c r="I76" s="6">
        <v>-0.0366999099010563</v>
      </c>
      <c r="J76" s="6">
        <v>0.914689052585178</v>
      </c>
      <c r="K76" s="6">
        <v>-0.637591884868029</v>
      </c>
      <c r="L76" s="6">
        <v>0.0348243604723608</v>
      </c>
      <c r="M76" s="9">
        <v>0.240840767936043</v>
      </c>
      <c r="N76" s="6">
        <v>-0.27884542963544</v>
      </c>
      <c r="O76" s="6">
        <v>0.406342128852945</v>
      </c>
      <c r="P76" s="6">
        <v>0.15122613379472</v>
      </c>
      <c r="Q76" s="6">
        <v>0.657148047966812</v>
      </c>
      <c r="R76" s="6">
        <v>-0.221860286604651</v>
      </c>
      <c r="S76" s="6">
        <v>0.512049392037907</v>
      </c>
      <c r="T76" s="6">
        <v>0.101887146300178</v>
      </c>
      <c r="U76" s="6">
        <v>0.765636040827668</v>
      </c>
      <c r="W76" s="6" t="s">
        <v>16</v>
      </c>
      <c r="X76" s="6" t="s">
        <v>12</v>
      </c>
      <c r="Y76" s="6">
        <v>-0.182126582802204</v>
      </c>
      <c r="Z76" s="6">
        <v>0.639078079449929</v>
      </c>
      <c r="AG76" s="15" t="s">
        <v>5</v>
      </c>
      <c r="AH76" s="15">
        <v>0.428571428571428</v>
      </c>
      <c r="AI76" s="15">
        <v>0.102040816326531</v>
      </c>
      <c r="AJ76" s="15">
        <v>0.408163265306123</v>
      </c>
      <c r="AK76" s="15">
        <v>0.0612244897959184</v>
      </c>
      <c r="AT76" s="15" t="s">
        <v>4</v>
      </c>
      <c r="AU76" s="15">
        <v>0.551020408163265</v>
      </c>
      <c r="AV76" s="15">
        <v>0</v>
      </c>
      <c r="AW76" s="15">
        <v>0.448979591836735</v>
      </c>
      <c r="AX76" s="15">
        <v>0</v>
      </c>
    </row>
    <row r="77" s="1" customFormat="1" spans="1:50">
      <c r="A77" s="2" t="s">
        <v>7</v>
      </c>
      <c r="B77" s="5" t="s">
        <v>11</v>
      </c>
      <c r="C77" s="6" t="s">
        <v>20</v>
      </c>
      <c r="D77" s="1">
        <v>52943</v>
      </c>
      <c r="E77" s="6">
        <v>-0.00819520701096165</v>
      </c>
      <c r="F77" s="6">
        <v>0.980921336516176</v>
      </c>
      <c r="G77" s="6">
        <v>0.844379515747856</v>
      </c>
      <c r="H77" s="6">
        <v>0.00107653966545972</v>
      </c>
      <c r="I77" s="6">
        <v>-0.34383386920649</v>
      </c>
      <c r="J77" s="6">
        <v>0.300513117225185</v>
      </c>
      <c r="K77" s="6">
        <v>0.731594419645021</v>
      </c>
      <c r="L77" s="6">
        <v>0.0104997517416634</v>
      </c>
      <c r="M77" s="9">
        <v>-0.273935890091283</v>
      </c>
      <c r="N77" s="13">
        <v>0.00439876820961453</v>
      </c>
      <c r="O77" s="6">
        <v>0.98975897745474</v>
      </c>
      <c r="P77" s="6">
        <v>0.129838171973287</v>
      </c>
      <c r="Q77" s="6">
        <v>0.703580153558466</v>
      </c>
      <c r="R77" s="6">
        <v>0.372989065701368</v>
      </c>
      <c r="S77" s="6">
        <v>0.258564921163053</v>
      </c>
      <c r="T77" s="6">
        <v>-0.361237942186161</v>
      </c>
      <c r="U77" s="6">
        <v>0.275048570854543</v>
      </c>
      <c r="W77" s="6" t="s">
        <v>22</v>
      </c>
      <c r="X77" s="6" t="s">
        <v>20</v>
      </c>
      <c r="Y77" s="6">
        <v>-0.586998410868857</v>
      </c>
      <c r="Z77" s="6">
        <v>0.096567710117039</v>
      </c>
      <c r="AG77" s="1" t="s">
        <v>40</v>
      </c>
      <c r="AH77" s="7">
        <v>0.571428571428572</v>
      </c>
      <c r="AI77" s="15">
        <v>0.0612244897959184</v>
      </c>
      <c r="AJ77" s="1">
        <v>0.306122448979592</v>
      </c>
      <c r="AK77" s="15">
        <v>0.0612244897959184</v>
      </c>
      <c r="AT77" s="15" t="s">
        <v>5</v>
      </c>
      <c r="AU77" s="15">
        <v>0.551020408163265</v>
      </c>
      <c r="AV77" s="15">
        <v>0</v>
      </c>
      <c r="AW77" s="15">
        <v>0.448979591836735</v>
      </c>
      <c r="AX77" s="15">
        <v>0</v>
      </c>
    </row>
    <row r="78" s="1" customFormat="1" spans="1:50">
      <c r="A78" s="2" t="s">
        <v>7</v>
      </c>
      <c r="B78" s="5" t="s">
        <v>11</v>
      </c>
      <c r="C78" s="6" t="s">
        <v>46</v>
      </c>
      <c r="D78" s="1">
        <v>52943</v>
      </c>
      <c r="E78" s="6">
        <v>-0.190717991424027</v>
      </c>
      <c r="F78" s="6">
        <v>0.574303923569905</v>
      </c>
      <c r="G78" s="6">
        <v>-0.404871891791929</v>
      </c>
      <c r="H78" s="6">
        <v>0.21675673764255</v>
      </c>
      <c r="I78" s="6">
        <v>-0.0166072049364389</v>
      </c>
      <c r="J78" s="6">
        <v>0.961347386993251</v>
      </c>
      <c r="K78" s="6">
        <v>-0.682094682032228</v>
      </c>
      <c r="L78" s="6">
        <v>0.0207707806544685</v>
      </c>
      <c r="M78" s="6">
        <v>0.153961972950429</v>
      </c>
      <c r="N78" s="9">
        <v>-0.449463059604506</v>
      </c>
      <c r="O78" s="6">
        <v>0.16546283792233</v>
      </c>
      <c r="P78" s="6">
        <v>0.446603787537112</v>
      </c>
      <c r="Q78" s="6">
        <v>0.168501606626676</v>
      </c>
      <c r="R78" s="6">
        <v>-0.227742420940246</v>
      </c>
      <c r="S78" s="6">
        <v>0.500627740109022</v>
      </c>
      <c r="T78" s="6">
        <v>0.37606874157268</v>
      </c>
      <c r="U78" s="6">
        <v>0.254340271227557</v>
      </c>
      <c r="W78" s="6" t="s">
        <v>47</v>
      </c>
      <c r="X78" s="6" t="s">
        <v>46</v>
      </c>
      <c r="Y78" s="6">
        <v>-0.152868552587646</v>
      </c>
      <c r="Z78" s="6">
        <v>0.694579760620193</v>
      </c>
      <c r="AT78" s="1" t="s">
        <v>40</v>
      </c>
      <c r="AU78" s="7">
        <v>0.571428571428572</v>
      </c>
      <c r="AV78" s="15">
        <v>0.0612244897959184</v>
      </c>
      <c r="AW78" s="1">
        <v>0.306122448979592</v>
      </c>
      <c r="AX78" s="15">
        <v>0.0612244897959184</v>
      </c>
    </row>
    <row r="79" s="1" customFormat="1" spans="1:26">
      <c r="A79" s="2" t="s">
        <v>7</v>
      </c>
      <c r="B79" s="5" t="s">
        <v>11</v>
      </c>
      <c r="C79" s="6" t="s">
        <v>31</v>
      </c>
      <c r="D79" s="1">
        <v>52943</v>
      </c>
      <c r="E79" s="6">
        <v>0.211963787193818</v>
      </c>
      <c r="F79" s="6">
        <v>0.531513653079328</v>
      </c>
      <c r="G79" s="6">
        <v>-0.394283984306062</v>
      </c>
      <c r="H79" s="6">
        <v>0.230166447911156</v>
      </c>
      <c r="I79" s="6">
        <v>-0.33458529524525</v>
      </c>
      <c r="J79" s="6">
        <v>0.314550480359946</v>
      </c>
      <c r="K79" s="6">
        <v>-0.168446466337992</v>
      </c>
      <c r="L79" s="6">
        <v>0.620530249911429</v>
      </c>
      <c r="M79" s="9">
        <v>0.276593742775603</v>
      </c>
      <c r="N79" s="6">
        <v>-0.0951354603272505</v>
      </c>
      <c r="O79" s="6">
        <v>0.78082771344791</v>
      </c>
      <c r="P79" s="6">
        <v>0.114561188373486</v>
      </c>
      <c r="Q79" s="6">
        <v>0.737321506164929</v>
      </c>
      <c r="R79" s="6">
        <v>-0.0748759956316957</v>
      </c>
      <c r="S79" s="6">
        <v>0.826808455288209</v>
      </c>
      <c r="T79" s="6">
        <v>-0.0752849705952496</v>
      </c>
      <c r="U79" s="6">
        <v>0.825874930240645</v>
      </c>
      <c r="W79" s="6" t="s">
        <v>32</v>
      </c>
      <c r="X79" s="6" t="s">
        <v>31</v>
      </c>
      <c r="Y79" s="6">
        <v>-0.0320949404140121</v>
      </c>
      <c r="Z79" s="6">
        <v>0.934672823560516</v>
      </c>
    </row>
    <row r="80" s="1" customFormat="1" spans="1:26">
      <c r="A80" s="2" t="s">
        <v>7</v>
      </c>
      <c r="B80" s="5" t="s">
        <v>11</v>
      </c>
      <c r="C80" s="6" t="s">
        <v>34</v>
      </c>
      <c r="D80" s="1">
        <v>52943</v>
      </c>
      <c r="E80" s="6">
        <v>-0.282426669479095</v>
      </c>
      <c r="F80" s="6">
        <v>0.400085148055041</v>
      </c>
      <c r="G80" s="6">
        <v>0.721058042055228</v>
      </c>
      <c r="H80" s="6">
        <v>0.0122784239191761</v>
      </c>
      <c r="I80" s="6">
        <v>-0.0273318485064767</v>
      </c>
      <c r="J80" s="6">
        <v>0.936421160356408</v>
      </c>
      <c r="K80" s="6">
        <v>0.354979023221361</v>
      </c>
      <c r="L80" s="6">
        <v>0.284062335527481</v>
      </c>
      <c r="M80" s="9">
        <v>-0.688330544121701</v>
      </c>
      <c r="N80" s="6">
        <v>-0.407845226437397</v>
      </c>
      <c r="O80" s="6">
        <v>0.213075983802283</v>
      </c>
      <c r="P80" s="6">
        <v>0.381646621921731</v>
      </c>
      <c r="Q80" s="6">
        <v>0.246789740800401</v>
      </c>
      <c r="R80" s="6">
        <v>0.533749987013109</v>
      </c>
      <c r="S80" s="6">
        <v>0.0908224030170983</v>
      </c>
      <c r="T80" s="6">
        <v>-0.358286616856859</v>
      </c>
      <c r="U80" s="6">
        <v>0.279278700451299</v>
      </c>
      <c r="W80" s="6" t="s">
        <v>35</v>
      </c>
      <c r="X80" s="6" t="s">
        <v>34</v>
      </c>
      <c r="Y80" s="6">
        <v>-0.525649326711314</v>
      </c>
      <c r="Z80" s="6">
        <v>0.146103973404343</v>
      </c>
    </row>
    <row r="81" s="1" customFormat="1" spans="1:26">
      <c r="A81" s="2" t="s">
        <v>7</v>
      </c>
      <c r="B81" s="5" t="s">
        <v>11</v>
      </c>
      <c r="C81" s="6" t="s">
        <v>38</v>
      </c>
      <c r="D81" s="1">
        <v>52943</v>
      </c>
      <c r="E81" s="6">
        <v>0.272470762727064</v>
      </c>
      <c r="F81" s="6">
        <v>0.417597217366996</v>
      </c>
      <c r="G81" s="6">
        <v>-0.543533348212828</v>
      </c>
      <c r="H81" s="6">
        <v>0.0839573568564599</v>
      </c>
      <c r="I81" s="6">
        <v>-0.0976150713866576</v>
      </c>
      <c r="J81" s="6">
        <v>0.775240174656046</v>
      </c>
      <c r="K81" s="6">
        <v>-0.419570065675056</v>
      </c>
      <c r="L81" s="6">
        <v>0.198924953598553</v>
      </c>
      <c r="M81" s="9">
        <v>0.542177158181561</v>
      </c>
      <c r="N81" s="6">
        <v>0.300711317277227</v>
      </c>
      <c r="O81" s="6">
        <v>0.368893597367758</v>
      </c>
      <c r="P81" s="6">
        <v>-0.309431145685902</v>
      </c>
      <c r="Q81" s="6">
        <v>0.354471261949572</v>
      </c>
      <c r="R81" s="6">
        <v>-0.339156632980647</v>
      </c>
      <c r="S81" s="6">
        <v>0.30756862808669</v>
      </c>
      <c r="T81" s="6">
        <v>0.169849277360564</v>
      </c>
      <c r="U81" s="6">
        <v>0.617579739649884</v>
      </c>
      <c r="W81" s="6" t="s">
        <v>39</v>
      </c>
      <c r="X81" s="6" t="s">
        <v>38</v>
      </c>
      <c r="Y81" s="6">
        <v>0.0970651943661309</v>
      </c>
      <c r="Z81" s="6">
        <v>0.803806362852053</v>
      </c>
    </row>
    <row r="82" s="1" customFormat="1" spans="1:25">
      <c r="A82" s="2"/>
      <c r="D82" s="1" t="s">
        <v>48</v>
      </c>
      <c r="E82" s="1">
        <v>10</v>
      </c>
      <c r="F82" s="1">
        <v>0</v>
      </c>
      <c r="G82" s="8">
        <v>9</v>
      </c>
      <c r="H82" s="8">
        <v>3</v>
      </c>
      <c r="I82" s="1">
        <v>3</v>
      </c>
      <c r="J82" s="1">
        <v>1</v>
      </c>
      <c r="K82" s="8">
        <v>7</v>
      </c>
      <c r="L82" s="8">
        <v>1</v>
      </c>
      <c r="N82" s="8">
        <v>10</v>
      </c>
      <c r="O82" s="8">
        <v>0</v>
      </c>
      <c r="P82" s="8">
        <v>13</v>
      </c>
      <c r="Q82" s="8">
        <v>0</v>
      </c>
      <c r="R82" s="1">
        <v>10</v>
      </c>
      <c r="S82" s="1">
        <v>0</v>
      </c>
      <c r="T82" s="1">
        <v>13</v>
      </c>
      <c r="U82" s="1">
        <v>0</v>
      </c>
      <c r="Y82" s="1">
        <v>11</v>
      </c>
    </row>
    <row r="83" s="1" customFormat="1" spans="1:25">
      <c r="A83" s="2"/>
      <c r="D83" s="1" t="s">
        <v>49</v>
      </c>
      <c r="E83" s="1">
        <v>8</v>
      </c>
      <c r="F83" s="1">
        <v>0</v>
      </c>
      <c r="G83" s="8">
        <v>9</v>
      </c>
      <c r="H83" s="8">
        <v>0</v>
      </c>
      <c r="I83" s="1">
        <v>15</v>
      </c>
      <c r="J83" s="1">
        <v>4</v>
      </c>
      <c r="K83" s="8">
        <v>11</v>
      </c>
      <c r="L83" s="8">
        <v>3</v>
      </c>
      <c r="N83" s="8">
        <v>8</v>
      </c>
      <c r="O83" s="8">
        <v>0</v>
      </c>
      <c r="P83" s="8">
        <v>5</v>
      </c>
      <c r="Q83" s="8">
        <v>0</v>
      </c>
      <c r="R83" s="1">
        <v>8</v>
      </c>
      <c r="S83" s="1">
        <v>0</v>
      </c>
      <c r="T83" s="1">
        <v>5</v>
      </c>
      <c r="U83" s="1">
        <v>0</v>
      </c>
      <c r="Y83" s="1">
        <v>7</v>
      </c>
    </row>
    <row r="84" s="1" customFormat="1" spans="1:31">
      <c r="A84" s="2" t="s">
        <v>50</v>
      </c>
      <c r="B84" s="5" t="s">
        <v>11</v>
      </c>
      <c r="C84" s="6" t="s">
        <v>51</v>
      </c>
      <c r="D84" s="1">
        <v>52818</v>
      </c>
      <c r="E84" s="6">
        <v>-0.062932148928846</v>
      </c>
      <c r="F84" s="6">
        <v>0.823683586144455</v>
      </c>
      <c r="G84" s="6">
        <v>0.205320619419434</v>
      </c>
      <c r="H84" s="6">
        <v>0.462891894365437</v>
      </c>
      <c r="I84" s="6">
        <v>-0.0195210971021697</v>
      </c>
      <c r="J84" s="6">
        <v>0.944948525126839</v>
      </c>
      <c r="K84" s="6">
        <v>0.160167423095131</v>
      </c>
      <c r="L84" s="6">
        <v>0.568533777152437</v>
      </c>
      <c r="M84" s="6">
        <v>0.0432913064271646</v>
      </c>
      <c r="N84" s="6">
        <v>0.462942778466915</v>
      </c>
      <c r="O84" s="6">
        <v>0.0822523523576225</v>
      </c>
      <c r="P84" s="6">
        <v>0.160167423095131</v>
      </c>
      <c r="Q84" s="6">
        <v>0.568533777152437</v>
      </c>
      <c r="R84" s="6">
        <v>-0.318003160789057</v>
      </c>
      <c r="S84" s="6">
        <v>0.2480612462346</v>
      </c>
      <c r="T84" s="6">
        <v>0.185867623980581</v>
      </c>
      <c r="U84" s="6">
        <v>0.507184256491539</v>
      </c>
      <c r="W84" s="6" t="s">
        <v>52</v>
      </c>
      <c r="X84" s="6" t="s">
        <v>51</v>
      </c>
      <c r="Y84" s="6">
        <v>-0.317834619932936</v>
      </c>
      <c r="Z84" s="6">
        <v>0.268128729600336</v>
      </c>
      <c r="AA84" s="15" t="s">
        <v>23</v>
      </c>
      <c r="AB84" s="1" t="s">
        <v>24</v>
      </c>
      <c r="AC84" s="1" t="s">
        <v>25</v>
      </c>
      <c r="AD84" s="1" t="s">
        <v>26</v>
      </c>
      <c r="AE84" s="1" t="s">
        <v>27</v>
      </c>
    </row>
    <row r="85" s="1" customFormat="1" spans="1:31">
      <c r="A85" s="2" t="s">
        <v>50</v>
      </c>
      <c r="B85" s="5" t="s">
        <v>11</v>
      </c>
      <c r="C85" s="6" t="s">
        <v>20</v>
      </c>
      <c r="D85" s="1">
        <v>56021</v>
      </c>
      <c r="E85" s="6">
        <v>-0.235904470692354</v>
      </c>
      <c r="F85" s="6">
        <v>0.541152233222619</v>
      </c>
      <c r="G85" s="6">
        <v>-0.233338853451336</v>
      </c>
      <c r="H85" s="6">
        <v>0.545689001466009</v>
      </c>
      <c r="I85" s="6">
        <v>-0.0432184452457879</v>
      </c>
      <c r="J85" s="6">
        <v>0.912093033975191</v>
      </c>
      <c r="K85" s="6">
        <v>0.708693892583183</v>
      </c>
      <c r="L85" s="6">
        <v>0.021772843998857</v>
      </c>
      <c r="M85" s="6">
        <v>-0.595408028604086</v>
      </c>
      <c r="N85" s="6">
        <v>-0.574908363309255</v>
      </c>
      <c r="O85" s="6">
        <v>0.0821090099908993</v>
      </c>
      <c r="P85" s="6">
        <v>0.708693892583183</v>
      </c>
      <c r="Q85" s="6">
        <v>0.021772843998857</v>
      </c>
      <c r="R85" s="6">
        <v>0.58907548127531</v>
      </c>
      <c r="S85" s="6">
        <v>0.0731464734580175</v>
      </c>
      <c r="T85" s="6">
        <v>-0.573839958440443</v>
      </c>
      <c r="U85" s="6">
        <v>0.0828122311277994</v>
      </c>
      <c r="W85" s="6" t="s">
        <v>22</v>
      </c>
      <c r="X85" s="6" t="s">
        <v>20</v>
      </c>
      <c r="Y85" s="6">
        <v>-0.726269183620024</v>
      </c>
      <c r="Z85" s="6">
        <v>0.0267035250367623</v>
      </c>
      <c r="AA85" s="15" t="s">
        <v>88</v>
      </c>
      <c r="AB85" s="1">
        <v>0.684210526315789</v>
      </c>
      <c r="AC85" s="16">
        <v>0</v>
      </c>
      <c r="AD85" s="1">
        <v>0.315789473684211</v>
      </c>
      <c r="AE85" s="1">
        <v>0</v>
      </c>
    </row>
    <row r="86" s="1" customFormat="1" spans="1:31">
      <c r="A86" s="2" t="s">
        <v>50</v>
      </c>
      <c r="B86" s="5" t="s">
        <v>11</v>
      </c>
      <c r="C86" s="6" t="s">
        <v>53</v>
      </c>
      <c r="D86" s="1">
        <v>56021</v>
      </c>
      <c r="E86" s="6">
        <v>0.409885420494233</v>
      </c>
      <c r="F86" s="6">
        <v>0.273235521609322</v>
      </c>
      <c r="G86" s="6">
        <v>0.0730617153793069</v>
      </c>
      <c r="H86" s="6">
        <v>0.851820398397541</v>
      </c>
      <c r="I86" s="6">
        <v>0.488120001224979</v>
      </c>
      <c r="J86" s="6">
        <v>0.182493681804204</v>
      </c>
      <c r="K86" s="6">
        <v>0.353471453347892</v>
      </c>
      <c r="L86" s="6">
        <v>0.316361985737061</v>
      </c>
      <c r="M86" s="6">
        <v>0.320946508632229</v>
      </c>
      <c r="N86" s="6">
        <v>0.436537428703011</v>
      </c>
      <c r="O86" s="6">
        <v>0.207186898808458</v>
      </c>
      <c r="P86" s="6">
        <v>0.353471453347892</v>
      </c>
      <c r="Q86" s="6">
        <v>0.316361985737061</v>
      </c>
      <c r="R86" s="6">
        <v>0.106904691964765</v>
      </c>
      <c r="S86" s="6">
        <v>0.768800336602362</v>
      </c>
      <c r="T86" s="6">
        <v>-0.246190198084809</v>
      </c>
      <c r="U86" s="6">
        <v>0.492929830174154</v>
      </c>
      <c r="W86" s="6" t="s">
        <v>54</v>
      </c>
      <c r="X86" s="6" t="s">
        <v>53</v>
      </c>
      <c r="Y86" s="6">
        <v>-0.241143956285338</v>
      </c>
      <c r="Z86" s="6">
        <v>0.531932505532547</v>
      </c>
      <c r="AA86" s="15" t="s">
        <v>89</v>
      </c>
      <c r="AB86" s="1">
        <v>0.736842105263158</v>
      </c>
      <c r="AC86" s="1">
        <v>0.0526315789473684</v>
      </c>
      <c r="AD86" s="1">
        <v>0.210526315789474</v>
      </c>
      <c r="AE86" s="1">
        <v>0</v>
      </c>
    </row>
    <row r="87" s="1" customFormat="1" spans="1:31">
      <c r="A87" s="2" t="s">
        <v>50</v>
      </c>
      <c r="B87" s="5" t="s">
        <v>11</v>
      </c>
      <c r="C87" s="6" t="s">
        <v>55</v>
      </c>
      <c r="D87" s="1">
        <v>56021</v>
      </c>
      <c r="E87" s="6">
        <v>-0.0316079358338393</v>
      </c>
      <c r="F87" s="6">
        <v>0.935662426716694</v>
      </c>
      <c r="G87" s="6">
        <v>0.193655980196196</v>
      </c>
      <c r="H87" s="6">
        <v>0.617609526080039</v>
      </c>
      <c r="I87" s="6">
        <v>0.197053128642432</v>
      </c>
      <c r="J87" s="6">
        <v>0.611330433089733</v>
      </c>
      <c r="K87" s="6">
        <v>0.767829239410075</v>
      </c>
      <c r="L87" s="6">
        <v>0.00950149471108585</v>
      </c>
      <c r="M87" s="6">
        <v>-0.259168278531263</v>
      </c>
      <c r="N87" s="6">
        <v>0.572828423857719</v>
      </c>
      <c r="O87" s="6">
        <v>0.0834815844495409</v>
      </c>
      <c r="P87" s="6">
        <v>0.767829239410075</v>
      </c>
      <c r="Q87" s="6">
        <v>0.00950149471108585</v>
      </c>
      <c r="R87" s="6">
        <v>0.0511917920591321</v>
      </c>
      <c r="S87" s="6">
        <v>0.888310953833495</v>
      </c>
      <c r="T87" s="6">
        <v>-0.405941135133221</v>
      </c>
      <c r="U87" s="6">
        <v>0.244434532584575</v>
      </c>
      <c r="W87" s="6" t="s">
        <v>56</v>
      </c>
      <c r="X87" s="6" t="s">
        <v>55</v>
      </c>
      <c r="Y87" s="6">
        <v>0.585054278557635</v>
      </c>
      <c r="Z87" s="6">
        <v>0.0979511617122818</v>
      </c>
      <c r="AA87" s="15" t="s">
        <v>90</v>
      </c>
      <c r="AB87" s="1">
        <v>0.578947368421053</v>
      </c>
      <c r="AC87" s="1">
        <v>0</v>
      </c>
      <c r="AD87" s="1">
        <v>0.421052631578947</v>
      </c>
      <c r="AE87" s="1">
        <v>0</v>
      </c>
    </row>
    <row r="88" s="1" customFormat="1" spans="1:31">
      <c r="A88" s="2" t="s">
        <v>50</v>
      </c>
      <c r="B88" s="5" t="s">
        <v>11</v>
      </c>
      <c r="C88" s="6" t="s">
        <v>34</v>
      </c>
      <c r="D88" s="1">
        <v>56021</v>
      </c>
      <c r="E88" s="6">
        <v>-0.387279160420649</v>
      </c>
      <c r="F88" s="6">
        <v>0.303116553546985</v>
      </c>
      <c r="G88" s="6">
        <v>-0.123043848186644</v>
      </c>
      <c r="H88" s="6">
        <v>0.752478109683026</v>
      </c>
      <c r="I88" s="6">
        <v>-0.301827228253242</v>
      </c>
      <c r="J88" s="6">
        <v>0.429909226131999</v>
      </c>
      <c r="K88" s="6">
        <v>0.691364952330161</v>
      </c>
      <c r="L88" s="6">
        <v>0.0268021390779171</v>
      </c>
      <c r="M88" s="6">
        <v>-0.316313049360611</v>
      </c>
      <c r="N88" s="6">
        <v>-0.376700728688709</v>
      </c>
      <c r="O88" s="6">
        <v>0.283280701652506</v>
      </c>
      <c r="P88" s="6">
        <v>0.691364952330161</v>
      </c>
      <c r="Q88" s="6">
        <v>0.0268021390779171</v>
      </c>
      <c r="R88" s="6">
        <v>0.273049768716982</v>
      </c>
      <c r="S88" s="6">
        <v>0.445279039397625</v>
      </c>
      <c r="T88" s="6">
        <v>-0.281452911887419</v>
      </c>
      <c r="U88" s="6">
        <v>0.430818807025309</v>
      </c>
      <c r="W88" s="6" t="s">
        <v>35</v>
      </c>
      <c r="X88" s="6" t="s">
        <v>34</v>
      </c>
      <c r="Y88" s="6">
        <v>-0.196209373622449</v>
      </c>
      <c r="Z88" s="6">
        <v>0.612887956552932</v>
      </c>
      <c r="AA88" s="15" t="s">
        <v>92</v>
      </c>
      <c r="AB88" s="1">
        <v>0.526315789473684</v>
      </c>
      <c r="AC88" s="1">
        <v>0.210526315789474</v>
      </c>
      <c r="AD88" s="1">
        <v>0.263157894736842</v>
      </c>
      <c r="AE88" s="1">
        <v>0</v>
      </c>
    </row>
    <row r="89" s="1" customFormat="1" spans="1:32">
      <c r="A89" s="2" t="s">
        <v>50</v>
      </c>
      <c r="B89" s="5" t="s">
        <v>11</v>
      </c>
      <c r="C89" s="6" t="s">
        <v>57</v>
      </c>
      <c r="D89" s="1">
        <v>56021</v>
      </c>
      <c r="E89" s="6">
        <v>0.245630320123145</v>
      </c>
      <c r="F89" s="6">
        <v>0.524086958173648</v>
      </c>
      <c r="G89" s="6">
        <v>-0.226179948198429</v>
      </c>
      <c r="H89" s="6">
        <v>0.55842371069073</v>
      </c>
      <c r="I89" s="6">
        <v>0.0136876191302396</v>
      </c>
      <c r="J89" s="6">
        <v>0.97212016435343</v>
      </c>
      <c r="K89" s="6">
        <v>0.416334268119843</v>
      </c>
      <c r="L89" s="6">
        <v>0.231389614658663</v>
      </c>
      <c r="M89" s="6">
        <v>0.0935867459814044</v>
      </c>
      <c r="N89" s="6">
        <v>0.396855447859096</v>
      </c>
      <c r="O89" s="6">
        <v>0.256167340956756</v>
      </c>
      <c r="P89" s="6">
        <v>0.416334268119843</v>
      </c>
      <c r="Q89" s="6">
        <v>0.231389614658663</v>
      </c>
      <c r="R89" s="6">
        <v>0.140803001710655</v>
      </c>
      <c r="S89" s="6">
        <v>0.698027519115584</v>
      </c>
      <c r="T89" s="6">
        <v>-0.144772029955003</v>
      </c>
      <c r="U89" s="6">
        <v>0.689865594586957</v>
      </c>
      <c r="W89" s="6" t="s">
        <v>58</v>
      </c>
      <c r="X89" s="6" t="s">
        <v>57</v>
      </c>
      <c r="Y89" s="6">
        <v>0.189972461369204</v>
      </c>
      <c r="Z89" s="6">
        <v>0.624442209288598</v>
      </c>
      <c r="AA89" s="15" t="s">
        <v>93</v>
      </c>
      <c r="AB89" s="1">
        <v>0.315789473684211</v>
      </c>
      <c r="AC89" s="1">
        <v>0</v>
      </c>
      <c r="AD89" s="1">
        <v>0.631578947368421</v>
      </c>
      <c r="AE89" s="1">
        <v>0.0526315789473684</v>
      </c>
      <c r="AF89" s="1">
        <f>AD89+AE89</f>
        <v>0.684210526315789</v>
      </c>
    </row>
    <row r="90" s="1" customFormat="1" spans="1:31">
      <c r="A90" s="2" t="s">
        <v>50</v>
      </c>
      <c r="B90" s="5" t="s">
        <v>11</v>
      </c>
      <c r="C90" s="6" t="s">
        <v>59</v>
      </c>
      <c r="D90" s="1">
        <v>56021</v>
      </c>
      <c r="E90" s="6">
        <v>0.124880907976708</v>
      </c>
      <c r="F90" s="6">
        <v>0.748877803574594</v>
      </c>
      <c r="G90" s="6">
        <v>-0.0289457769598943</v>
      </c>
      <c r="H90" s="6">
        <v>0.941073304112048</v>
      </c>
      <c r="I90" s="6">
        <v>0.0761352288659654</v>
      </c>
      <c r="J90" s="6">
        <v>0.845645846336252</v>
      </c>
      <c r="K90" s="6">
        <v>0.748130747912705</v>
      </c>
      <c r="L90" s="6">
        <v>0.0128235906903856</v>
      </c>
      <c r="M90" s="6">
        <v>-0.0187068880481489</v>
      </c>
      <c r="N90" s="6">
        <v>0.35526865581168</v>
      </c>
      <c r="O90" s="6">
        <v>0.313733486099863</v>
      </c>
      <c r="P90" s="6">
        <v>0.748130747912705</v>
      </c>
      <c r="Q90" s="6">
        <v>0.0128235906903856</v>
      </c>
      <c r="R90" s="6">
        <v>0.39925612108037</v>
      </c>
      <c r="S90" s="6">
        <v>0.253037493548294</v>
      </c>
      <c r="T90" s="6">
        <v>-0.460941953726499</v>
      </c>
      <c r="U90" s="6">
        <v>0.179993695954899</v>
      </c>
      <c r="W90" s="6" t="s">
        <v>60</v>
      </c>
      <c r="X90" s="6" t="s">
        <v>59</v>
      </c>
      <c r="Y90" s="6">
        <v>0.164210480099749</v>
      </c>
      <c r="Z90" s="6">
        <v>0.672899355353647</v>
      </c>
      <c r="AA90" s="15" t="s">
        <v>94</v>
      </c>
      <c r="AB90" s="1">
        <v>0.578947368421053</v>
      </c>
      <c r="AC90" s="1">
        <v>0</v>
      </c>
      <c r="AD90" s="1">
        <v>0.421052631578947</v>
      </c>
      <c r="AE90" s="1">
        <v>0</v>
      </c>
    </row>
    <row r="91" s="1" customFormat="1" spans="1:31">
      <c r="A91" s="2" t="s">
        <v>50</v>
      </c>
      <c r="B91" s="5" t="s">
        <v>11</v>
      </c>
      <c r="C91" s="6" t="s">
        <v>17</v>
      </c>
      <c r="D91" s="1">
        <v>56045</v>
      </c>
      <c r="E91" s="6">
        <v>0.487629539473055</v>
      </c>
      <c r="F91" s="6">
        <v>0.183000079385623</v>
      </c>
      <c r="G91" s="6">
        <v>0.272670672851268</v>
      </c>
      <c r="H91" s="6">
        <v>0.477794958417765</v>
      </c>
      <c r="I91" s="6">
        <v>-0.0645922592403108</v>
      </c>
      <c r="J91" s="6">
        <v>0.868870370625764</v>
      </c>
      <c r="K91" s="6">
        <v>-0.442542762986937</v>
      </c>
      <c r="L91" s="6">
        <v>0.232935241616537</v>
      </c>
      <c r="M91" s="6">
        <v>0.38196340963302</v>
      </c>
      <c r="N91" s="6">
        <v>0.144180472782725</v>
      </c>
      <c r="O91" s="6">
        <v>0.711318719326423</v>
      </c>
      <c r="P91" s="6">
        <v>-0.442542762986937</v>
      </c>
      <c r="Q91" s="6">
        <v>0.232935241616537</v>
      </c>
      <c r="R91" s="6">
        <v>-0.641441555633847</v>
      </c>
      <c r="S91" s="6">
        <v>0.0625988286422552</v>
      </c>
      <c r="T91" s="6">
        <v>0.604050716373716</v>
      </c>
      <c r="U91" s="6">
        <v>0.0849444283644227</v>
      </c>
      <c r="W91" s="6" t="s">
        <v>19</v>
      </c>
      <c r="X91" s="6" t="s">
        <v>17</v>
      </c>
      <c r="Y91" s="6">
        <v>0.241685117325014</v>
      </c>
      <c r="Z91" s="6">
        <v>0.564177722576537</v>
      </c>
      <c r="AA91" s="15" t="s">
        <v>95</v>
      </c>
      <c r="AB91" s="16">
        <v>0.526315789473684</v>
      </c>
      <c r="AC91" s="1">
        <v>0.210526315789474</v>
      </c>
      <c r="AD91" s="1">
        <v>0.263157894736842</v>
      </c>
      <c r="AE91" s="1">
        <v>0</v>
      </c>
    </row>
    <row r="92" s="1" customFormat="1" spans="1:31">
      <c r="A92" s="2" t="s">
        <v>50</v>
      </c>
      <c r="B92" s="5" t="s">
        <v>11</v>
      </c>
      <c r="C92" s="6" t="s">
        <v>20</v>
      </c>
      <c r="D92" s="1">
        <v>56045</v>
      </c>
      <c r="E92" s="6">
        <v>-0.132188140441397</v>
      </c>
      <c r="F92" s="6">
        <v>0.734599028549999</v>
      </c>
      <c r="G92" s="6">
        <v>-0.494535082282797</v>
      </c>
      <c r="H92" s="6">
        <v>0.175943397015175</v>
      </c>
      <c r="I92" s="6">
        <v>-0.702576598548069</v>
      </c>
      <c r="J92" s="6">
        <v>0.0348031803965581</v>
      </c>
      <c r="K92" s="6">
        <v>-0.13906583602504</v>
      </c>
      <c r="L92" s="6">
        <v>0.721223492552104</v>
      </c>
      <c r="M92" s="6">
        <v>0.508009968571182</v>
      </c>
      <c r="N92" s="6">
        <v>0.749391925160301</v>
      </c>
      <c r="O92" s="6">
        <v>0.0200993662873938</v>
      </c>
      <c r="P92" s="6">
        <v>-0.13906583602504</v>
      </c>
      <c r="Q92" s="6">
        <v>0.721223492552104</v>
      </c>
      <c r="R92" s="6">
        <v>0.180317316052568</v>
      </c>
      <c r="S92" s="6">
        <v>0.642468680394087</v>
      </c>
      <c r="T92" s="6">
        <v>-0.615633788749391</v>
      </c>
      <c r="U92" s="6">
        <v>0.077566613236927</v>
      </c>
      <c r="W92" s="6" t="s">
        <v>22</v>
      </c>
      <c r="X92" s="6" t="s">
        <v>20</v>
      </c>
      <c r="Y92" s="6">
        <v>-0.479344070498917</v>
      </c>
      <c r="Z92" s="6">
        <v>0.229413878324071</v>
      </c>
      <c r="AA92" s="15" t="s">
        <v>96</v>
      </c>
      <c r="AB92" s="1">
        <v>0.473684210526316</v>
      </c>
      <c r="AC92" s="16">
        <v>0</v>
      </c>
      <c r="AD92" s="1">
        <v>0.526315789473684</v>
      </c>
      <c r="AE92" s="1">
        <v>0</v>
      </c>
    </row>
    <row r="93" s="1" customFormat="1" spans="1:31">
      <c r="A93" s="2" t="s">
        <v>50</v>
      </c>
      <c r="B93" s="5" t="s">
        <v>11</v>
      </c>
      <c r="C93" s="6" t="s">
        <v>61</v>
      </c>
      <c r="D93" s="1">
        <v>56045</v>
      </c>
      <c r="E93" s="6">
        <v>0.400490226718492</v>
      </c>
      <c r="F93" s="6">
        <v>0.285459638361545</v>
      </c>
      <c r="G93" s="6">
        <v>0.183687855987088</v>
      </c>
      <c r="H93" s="6">
        <v>0.636156861660874</v>
      </c>
      <c r="I93" s="6">
        <v>-0.163831335531399</v>
      </c>
      <c r="J93" s="6">
        <v>0.673620837219937</v>
      </c>
      <c r="K93" s="6">
        <v>-0.487759757938639</v>
      </c>
      <c r="L93" s="6">
        <v>0.182865552401024</v>
      </c>
      <c r="M93" s="6">
        <v>0.433649476929884</v>
      </c>
      <c r="N93" s="6">
        <v>0.285117948876059</v>
      </c>
      <c r="O93" s="6">
        <v>0.457085105680888</v>
      </c>
      <c r="P93" s="6">
        <v>-0.487759757938639</v>
      </c>
      <c r="Q93" s="6">
        <v>0.182865552401024</v>
      </c>
      <c r="R93" s="6">
        <v>-0.635489670491128</v>
      </c>
      <c r="S93" s="6">
        <v>0.0658734248772532</v>
      </c>
      <c r="T93" s="6">
        <v>0.620011439427366</v>
      </c>
      <c r="U93" s="6">
        <v>0.0748858200429499</v>
      </c>
      <c r="W93" s="6" t="s">
        <v>62</v>
      </c>
      <c r="X93" s="6" t="s">
        <v>61</v>
      </c>
      <c r="Y93" s="6">
        <v>0.706324937083332</v>
      </c>
      <c r="Z93" s="6">
        <v>0.0501925629528721</v>
      </c>
      <c r="AA93" s="1" t="s">
        <v>40</v>
      </c>
      <c r="AB93" s="1">
        <v>0.631578947368421</v>
      </c>
      <c r="AC93" s="1">
        <v>0.0526315789473684</v>
      </c>
      <c r="AD93" s="1">
        <v>0.263157894736842</v>
      </c>
      <c r="AE93" s="1">
        <v>0.0526315789473684</v>
      </c>
    </row>
    <row r="94" s="1" customFormat="1" spans="1:26">
      <c r="A94" s="2" t="s">
        <v>50</v>
      </c>
      <c r="B94" s="5" t="s">
        <v>11</v>
      </c>
      <c r="C94" s="6" t="s">
        <v>63</v>
      </c>
      <c r="D94" s="1">
        <v>56045</v>
      </c>
      <c r="E94" s="6">
        <v>0.100503132279104</v>
      </c>
      <c r="F94" s="6">
        <v>0.796972282229055</v>
      </c>
      <c r="G94" s="6">
        <v>-0.443135687461289</v>
      </c>
      <c r="H94" s="6">
        <v>0.232235358280095</v>
      </c>
      <c r="I94" s="6">
        <v>-0.524516542388903</v>
      </c>
      <c r="J94" s="6">
        <v>0.147134253824461</v>
      </c>
      <c r="K94" s="6">
        <v>0.27006220694406</v>
      </c>
      <c r="L94" s="6">
        <v>0.482183947943652</v>
      </c>
      <c r="M94" s="6">
        <v>0.27446635281498</v>
      </c>
      <c r="N94" s="6">
        <v>0.429856469874277</v>
      </c>
      <c r="O94" s="6">
        <v>0.248183139337708</v>
      </c>
      <c r="P94" s="6">
        <v>0.27006220694406</v>
      </c>
      <c r="Q94" s="6">
        <v>0.482183947943652</v>
      </c>
      <c r="R94" s="6">
        <v>0.330523775886566</v>
      </c>
      <c r="S94" s="6">
        <v>0.384988093010941</v>
      </c>
      <c r="T94" s="6">
        <v>-0.193635156181161</v>
      </c>
      <c r="U94" s="6">
        <v>0.61764808261415</v>
      </c>
      <c r="W94" s="6" t="s">
        <v>64</v>
      </c>
      <c r="X94" s="6" t="s">
        <v>63</v>
      </c>
      <c r="Y94" s="6">
        <v>0.297828418952188</v>
      </c>
      <c r="Z94" s="6">
        <v>0.473715355154726</v>
      </c>
    </row>
    <row r="95" s="1" customFormat="1" spans="1:26">
      <c r="A95" s="2" t="s">
        <v>50</v>
      </c>
      <c r="B95" s="5" t="s">
        <v>11</v>
      </c>
      <c r="C95" s="6" t="s">
        <v>34</v>
      </c>
      <c r="D95" s="1">
        <v>56045</v>
      </c>
      <c r="E95" s="6">
        <v>0.614855302559468</v>
      </c>
      <c r="F95" s="6">
        <v>0.0780494927252575</v>
      </c>
      <c r="G95" s="6">
        <v>-0.0620274346761434</v>
      </c>
      <c r="H95" s="6">
        <v>0.874043182111004</v>
      </c>
      <c r="I95" s="6">
        <v>-0.00782179297358138</v>
      </c>
      <c r="J95" s="6">
        <v>0.984066386574177</v>
      </c>
      <c r="K95" s="6">
        <v>0.216132657497404</v>
      </c>
      <c r="L95" s="6">
        <v>0.576479848479338</v>
      </c>
      <c r="M95" s="6">
        <v>0.684433923410747</v>
      </c>
      <c r="N95" s="6">
        <v>0.60797805583389</v>
      </c>
      <c r="O95" s="6">
        <v>0.0823963976090814</v>
      </c>
      <c r="P95" s="6">
        <v>0.216132657497404</v>
      </c>
      <c r="Q95" s="6">
        <v>0.576479848479338</v>
      </c>
      <c r="R95" s="6">
        <v>0.503769377980504</v>
      </c>
      <c r="S95" s="6">
        <v>0.166753460083728</v>
      </c>
      <c r="T95" s="6">
        <v>-0.475053134906539</v>
      </c>
      <c r="U95" s="6">
        <v>0.196256515120335</v>
      </c>
      <c r="W95" s="6" t="s">
        <v>35</v>
      </c>
      <c r="X95" s="6" t="s">
        <v>34</v>
      </c>
      <c r="Y95" s="6">
        <v>0.0742443870865291</v>
      </c>
      <c r="Z95" s="6">
        <v>0.861302493334361</v>
      </c>
    </row>
    <row r="96" s="1" customFormat="1" spans="1:26">
      <c r="A96" s="2" t="s">
        <v>50</v>
      </c>
      <c r="B96" s="5" t="s">
        <v>11</v>
      </c>
      <c r="C96" s="6" t="s">
        <v>36</v>
      </c>
      <c r="D96" s="1">
        <v>56045</v>
      </c>
      <c r="E96" s="6">
        <v>0.412674198195889</v>
      </c>
      <c r="F96" s="6">
        <v>0.269660745753464</v>
      </c>
      <c r="G96" s="6">
        <v>0.00506980278965008</v>
      </c>
      <c r="H96" s="6">
        <v>0.989672103782986</v>
      </c>
      <c r="I96" s="6">
        <v>-0.023970644198029</v>
      </c>
      <c r="J96" s="6">
        <v>0.951190780925443</v>
      </c>
      <c r="K96" s="6">
        <v>-0.432548609138596</v>
      </c>
      <c r="L96" s="6">
        <v>0.244903891527916</v>
      </c>
      <c r="M96" s="6">
        <v>0.466953062182327</v>
      </c>
      <c r="N96" s="6">
        <v>0.291328953292348</v>
      </c>
      <c r="O96" s="6">
        <v>0.446898573598633</v>
      </c>
      <c r="P96" s="6">
        <v>-0.432548609138596</v>
      </c>
      <c r="Q96" s="6">
        <v>0.244903891527916</v>
      </c>
      <c r="R96" s="6">
        <v>-0.517237650621271</v>
      </c>
      <c r="S96" s="6">
        <v>0.153855483896326</v>
      </c>
      <c r="T96" s="6">
        <v>0.545213268233704</v>
      </c>
      <c r="U96" s="6">
        <v>0.128976342771655</v>
      </c>
      <c r="W96" s="6" t="s">
        <v>37</v>
      </c>
      <c r="X96" s="6" t="s">
        <v>36</v>
      </c>
      <c r="Y96" s="6">
        <v>0.425902016434979</v>
      </c>
      <c r="Z96" s="6">
        <v>0.29274793822769</v>
      </c>
    </row>
    <row r="97" s="1" customFormat="1" spans="1:26">
      <c r="A97" s="2" t="s">
        <v>50</v>
      </c>
      <c r="B97" s="5" t="s">
        <v>11</v>
      </c>
      <c r="C97" s="6" t="s">
        <v>59</v>
      </c>
      <c r="D97" s="1">
        <v>56045</v>
      </c>
      <c r="E97" s="6">
        <v>0.525775531790572</v>
      </c>
      <c r="F97" s="6">
        <v>0.145989450328134</v>
      </c>
      <c r="G97" s="6">
        <v>0.190417662838234</v>
      </c>
      <c r="H97" s="6">
        <v>0.62361506155268</v>
      </c>
      <c r="I97" s="6">
        <v>-0.00750455756370278</v>
      </c>
      <c r="J97" s="6">
        <v>0.984712558356143</v>
      </c>
      <c r="K97" s="6">
        <v>-0.378345821480585</v>
      </c>
      <c r="L97" s="6">
        <v>0.315362457974549</v>
      </c>
      <c r="M97" s="6">
        <v>0.467463600948797</v>
      </c>
      <c r="N97" s="6">
        <v>0.20370984010304</v>
      </c>
      <c r="O97" s="6">
        <v>0.599090148774747</v>
      </c>
      <c r="P97" s="6">
        <v>-0.378345821480585</v>
      </c>
      <c r="Q97" s="6">
        <v>0.315362457974549</v>
      </c>
      <c r="R97" s="6">
        <v>-0.571250809218688</v>
      </c>
      <c r="S97" s="6">
        <v>0.108120495472084</v>
      </c>
      <c r="T97" s="6">
        <v>0.538149256362531</v>
      </c>
      <c r="U97" s="6">
        <v>0.135015670673667</v>
      </c>
      <c r="W97" s="6" t="s">
        <v>60</v>
      </c>
      <c r="X97" s="6" t="s">
        <v>59</v>
      </c>
      <c r="Y97" s="6">
        <v>0.127592530013059</v>
      </c>
      <c r="Z97" s="6">
        <v>0.763347809763104</v>
      </c>
    </row>
    <row r="98" s="1" customFormat="1" spans="1:26">
      <c r="A98" s="2" t="s">
        <v>50</v>
      </c>
      <c r="B98" s="5" t="s">
        <v>11</v>
      </c>
      <c r="C98" s="6" t="s">
        <v>20</v>
      </c>
      <c r="D98" s="1">
        <v>56065</v>
      </c>
      <c r="E98" s="6">
        <v>0.242408777974873</v>
      </c>
      <c r="F98" s="6">
        <v>0.447783197532749</v>
      </c>
      <c r="G98" s="6">
        <v>0.149245301262273</v>
      </c>
      <c r="H98" s="6">
        <v>0.643408187135781</v>
      </c>
      <c r="I98" s="6">
        <v>-0.333961767264405</v>
      </c>
      <c r="J98" s="6">
        <v>0.288727027115667</v>
      </c>
      <c r="K98" s="6">
        <v>0.286306023390947</v>
      </c>
      <c r="L98" s="6">
        <v>0.366962969707432</v>
      </c>
      <c r="M98" s="6">
        <v>0.170748477551827</v>
      </c>
      <c r="N98" s="6">
        <v>0.046054429685394</v>
      </c>
      <c r="O98" s="6">
        <v>0.886982834550746</v>
      </c>
      <c r="P98" s="6">
        <v>0.286306023390947</v>
      </c>
      <c r="Q98" s="6">
        <v>0.366962969707432</v>
      </c>
      <c r="R98" s="6">
        <v>-0.00101126113915346</v>
      </c>
      <c r="S98" s="6">
        <v>0.997511352933716</v>
      </c>
      <c r="T98" s="6">
        <v>0.23933868763302</v>
      </c>
      <c r="U98" s="6">
        <v>0.453731831795918</v>
      </c>
      <c r="W98" s="6" t="s">
        <v>22</v>
      </c>
      <c r="X98" s="6" t="s">
        <v>20</v>
      </c>
      <c r="Y98" s="6">
        <v>0.112499611014893</v>
      </c>
      <c r="Z98" s="6">
        <v>0.741908222808607</v>
      </c>
    </row>
    <row r="99" s="1" customFormat="1" spans="1:26">
      <c r="A99" s="2" t="s">
        <v>50</v>
      </c>
      <c r="B99" s="5" t="s">
        <v>11</v>
      </c>
      <c r="C99" s="6" t="s">
        <v>61</v>
      </c>
      <c r="D99" s="1">
        <v>56065</v>
      </c>
      <c r="E99" s="6">
        <v>-0.0770464839903608</v>
      </c>
      <c r="F99" s="6">
        <v>0.811886136830753</v>
      </c>
      <c r="G99" s="6">
        <v>0.435811385784503</v>
      </c>
      <c r="H99" s="6">
        <v>0.156715267855481</v>
      </c>
      <c r="I99" s="6">
        <v>-0.303614827931852</v>
      </c>
      <c r="J99" s="6">
        <v>0.337367360744235</v>
      </c>
      <c r="K99" s="6">
        <v>0.332805356939738</v>
      </c>
      <c r="L99" s="6">
        <v>0.290503411521612</v>
      </c>
      <c r="M99" s="6">
        <v>-0.173708106687811</v>
      </c>
      <c r="N99" s="6">
        <v>-0.0391221126654146</v>
      </c>
      <c r="O99" s="6">
        <v>0.903919129930958</v>
      </c>
      <c r="P99" s="6">
        <v>0.332805356939738</v>
      </c>
      <c r="Q99" s="6">
        <v>0.290503411521612</v>
      </c>
      <c r="R99" s="6">
        <v>-0.13599087906069</v>
      </c>
      <c r="S99" s="6">
        <v>0.673450980088659</v>
      </c>
      <c r="T99" s="6">
        <v>0.168787716054928</v>
      </c>
      <c r="U99" s="6">
        <v>0.600003234090187</v>
      </c>
      <c r="W99" s="6" t="s">
        <v>62</v>
      </c>
      <c r="X99" s="6" t="s">
        <v>61</v>
      </c>
      <c r="Y99" s="6">
        <v>0.313915767885045</v>
      </c>
      <c r="Z99" s="6">
        <v>0.347169671449009</v>
      </c>
    </row>
    <row r="100" s="1" customFormat="1" spans="1:26">
      <c r="A100" s="2" t="s">
        <v>50</v>
      </c>
      <c r="B100" s="5" t="s">
        <v>11</v>
      </c>
      <c r="C100" s="6" t="s">
        <v>65</v>
      </c>
      <c r="D100" s="1">
        <v>56065</v>
      </c>
      <c r="E100" s="6">
        <v>0.337724574151745</v>
      </c>
      <c r="F100" s="6">
        <v>0.282989609858978</v>
      </c>
      <c r="G100" s="6">
        <v>0.165692462368751</v>
      </c>
      <c r="H100" s="6">
        <v>0.606803339949346</v>
      </c>
      <c r="I100" s="6">
        <v>0.0506922203629301</v>
      </c>
      <c r="J100" s="6">
        <v>0.875676054922794</v>
      </c>
      <c r="K100" s="6">
        <v>0.0367337976259861</v>
      </c>
      <c r="L100" s="6">
        <v>0.909762866047824</v>
      </c>
      <c r="M100" s="6">
        <v>0.154691579760846</v>
      </c>
      <c r="N100" s="6">
        <v>0.10155889180566</v>
      </c>
      <c r="O100" s="6">
        <v>0.753475273161056</v>
      </c>
      <c r="P100" s="6">
        <v>0.0367337976259861</v>
      </c>
      <c r="Q100" s="6">
        <v>0.909762866047824</v>
      </c>
      <c r="R100" s="6">
        <v>-0.191910202463305</v>
      </c>
      <c r="S100" s="6">
        <v>0.550157393896563</v>
      </c>
      <c r="T100" s="6">
        <v>0.397195528208888</v>
      </c>
      <c r="U100" s="6">
        <v>0.201071805011219</v>
      </c>
      <c r="W100" s="6" t="s">
        <v>66</v>
      </c>
      <c r="X100" s="6" t="s">
        <v>65</v>
      </c>
      <c r="Y100" s="6">
        <v>0.304655945549863</v>
      </c>
      <c r="Z100" s="6">
        <v>0.362332629486429</v>
      </c>
    </row>
    <row r="101" s="1" customFormat="1" spans="1:26">
      <c r="A101" s="2" t="s">
        <v>50</v>
      </c>
      <c r="B101" s="5" t="s">
        <v>11</v>
      </c>
      <c r="C101" s="6" t="s">
        <v>53</v>
      </c>
      <c r="D101" s="1">
        <v>56065</v>
      </c>
      <c r="E101" s="6">
        <v>0.185100142914388</v>
      </c>
      <c r="F101" s="6">
        <v>0.564658241881</v>
      </c>
      <c r="G101" s="6">
        <v>-0.00943969807464238</v>
      </c>
      <c r="H101" s="6">
        <v>0.976772252827014</v>
      </c>
      <c r="I101" s="6">
        <v>0.194988311480571</v>
      </c>
      <c r="J101" s="6">
        <v>0.543654208954883</v>
      </c>
      <c r="K101" s="6">
        <v>0.322474772806233</v>
      </c>
      <c r="L101" s="6">
        <v>0.306645114428319</v>
      </c>
      <c r="M101" s="6">
        <v>-0.0143183175177204</v>
      </c>
      <c r="N101" s="6">
        <v>-0.0620403529852291</v>
      </c>
      <c r="O101" s="6">
        <v>0.848103401201807</v>
      </c>
      <c r="P101" s="6">
        <v>0.322474772806233</v>
      </c>
      <c r="Q101" s="6">
        <v>0.306645114428319</v>
      </c>
      <c r="R101" s="6">
        <v>0.17496326784861</v>
      </c>
      <c r="S101" s="6">
        <v>0.586523536783013</v>
      </c>
      <c r="T101" s="6">
        <v>-0.245691234192161</v>
      </c>
      <c r="U101" s="6">
        <v>0.441464579244983</v>
      </c>
      <c r="W101" s="6" t="s">
        <v>54</v>
      </c>
      <c r="X101" s="6" t="s">
        <v>53</v>
      </c>
      <c r="Y101" s="6">
        <v>0.514207666269549</v>
      </c>
      <c r="Z101" s="6">
        <v>0.105619478492563</v>
      </c>
    </row>
    <row r="102" s="1" customFormat="1" spans="1:26">
      <c r="A102" s="2" t="s">
        <v>50</v>
      </c>
      <c r="B102" s="5" t="s">
        <v>11</v>
      </c>
      <c r="C102" s="6" t="s">
        <v>67</v>
      </c>
      <c r="D102" s="1">
        <v>56065</v>
      </c>
      <c r="E102" s="6">
        <v>0.308614781113852</v>
      </c>
      <c r="F102" s="6">
        <v>0.329066160295765</v>
      </c>
      <c r="G102" s="6">
        <v>0.0325913008397081</v>
      </c>
      <c r="H102" s="6">
        <v>0.919908328180963</v>
      </c>
      <c r="I102" s="6">
        <v>-0.159875579880634</v>
      </c>
      <c r="J102" s="6">
        <v>0.619660140874259</v>
      </c>
      <c r="K102" s="6">
        <v>0.483462536214609</v>
      </c>
      <c r="L102" s="6">
        <v>0.111305569477556</v>
      </c>
      <c r="M102" s="6">
        <v>0.282456161945475</v>
      </c>
      <c r="N102" s="6">
        <v>0.207192935853306</v>
      </c>
      <c r="O102" s="6">
        <v>0.51819168845882</v>
      </c>
      <c r="P102" s="6">
        <v>0.483462536214609</v>
      </c>
      <c r="Q102" s="6">
        <v>0.111305569477556</v>
      </c>
      <c r="R102" s="6">
        <v>0.016955930575316</v>
      </c>
      <c r="S102" s="6">
        <v>0.958288506196769</v>
      </c>
      <c r="T102" s="6">
        <v>0.292916337222412</v>
      </c>
      <c r="U102" s="6">
        <v>0.355504168626847</v>
      </c>
      <c r="W102" s="6" t="s">
        <v>68</v>
      </c>
      <c r="X102" s="6" t="s">
        <v>67</v>
      </c>
      <c r="Y102" s="6">
        <v>-0.020140795515029</v>
      </c>
      <c r="Z102" s="6">
        <v>0.953130194850829</v>
      </c>
    </row>
    <row r="103" s="1" customFormat="1" spans="1:26">
      <c r="A103" s="2"/>
      <c r="D103" s="1" t="s">
        <v>48</v>
      </c>
      <c r="E103" s="8">
        <v>13</v>
      </c>
      <c r="F103" s="8">
        <v>0</v>
      </c>
      <c r="G103" s="7">
        <v>11</v>
      </c>
      <c r="H103" s="7">
        <v>0</v>
      </c>
      <c r="I103" s="7">
        <v>6</v>
      </c>
      <c r="J103" s="7">
        <v>0</v>
      </c>
      <c r="K103" s="1">
        <v>14</v>
      </c>
      <c r="L103" s="1">
        <v>4</v>
      </c>
      <c r="N103" s="1">
        <v>15</v>
      </c>
      <c r="O103" s="1">
        <v>1</v>
      </c>
      <c r="P103" s="8">
        <v>14</v>
      </c>
      <c r="Q103" s="8">
        <v>4</v>
      </c>
      <c r="R103" s="16">
        <v>11</v>
      </c>
      <c r="S103" s="16">
        <v>0</v>
      </c>
      <c r="T103" s="1">
        <v>9</v>
      </c>
      <c r="U103" s="1">
        <v>0</v>
      </c>
      <c r="Y103" s="1">
        <v>13</v>
      </c>
      <c r="Z103" s="1">
        <v>1</v>
      </c>
    </row>
    <row r="104" s="1" customFormat="1" spans="1:26">
      <c r="A104" s="2"/>
      <c r="D104" s="1" t="s">
        <v>49</v>
      </c>
      <c r="E104" s="8">
        <v>6</v>
      </c>
      <c r="F104" s="8">
        <v>0</v>
      </c>
      <c r="G104" s="7">
        <v>8</v>
      </c>
      <c r="H104" s="7">
        <v>0</v>
      </c>
      <c r="I104" s="8">
        <v>13</v>
      </c>
      <c r="J104" s="8">
        <v>1</v>
      </c>
      <c r="K104" s="1">
        <v>5</v>
      </c>
      <c r="L104" s="1">
        <v>0</v>
      </c>
      <c r="N104" s="1">
        <v>4</v>
      </c>
      <c r="O104" s="1">
        <v>0</v>
      </c>
      <c r="P104" s="8">
        <v>5</v>
      </c>
      <c r="Q104" s="8">
        <v>0</v>
      </c>
      <c r="R104" s="16">
        <v>8</v>
      </c>
      <c r="S104" s="16">
        <v>0</v>
      </c>
      <c r="T104" s="1">
        <v>10</v>
      </c>
      <c r="U104" s="1">
        <v>0</v>
      </c>
      <c r="Y104" s="1">
        <v>6</v>
      </c>
      <c r="Z104" s="1">
        <v>1</v>
      </c>
    </row>
    <row r="105" s="1" customFormat="1" spans="1:31">
      <c r="A105" s="2" t="s">
        <v>69</v>
      </c>
      <c r="B105" s="5" t="s">
        <v>11</v>
      </c>
      <c r="C105" s="6" t="s">
        <v>20</v>
      </c>
      <c r="D105" s="1">
        <v>52765</v>
      </c>
      <c r="E105" s="6">
        <v>0.310577170522576</v>
      </c>
      <c r="F105" s="6">
        <v>0.259888837558243</v>
      </c>
      <c r="G105" s="6">
        <v>0.248233917693876</v>
      </c>
      <c r="H105" s="6">
        <v>0.372350125392802</v>
      </c>
      <c r="I105" s="6">
        <v>0.353886501132265</v>
      </c>
      <c r="J105" s="6">
        <v>0.195645409226156</v>
      </c>
      <c r="K105" s="6">
        <v>-0.286516688471888</v>
      </c>
      <c r="L105" s="6">
        <v>0.300520707198487</v>
      </c>
      <c r="M105" s="6">
        <v>0.296951145440705</v>
      </c>
      <c r="N105" s="6">
        <v>0.298359059084963</v>
      </c>
      <c r="O105" s="6">
        <v>0.280081675657168</v>
      </c>
      <c r="P105" s="6">
        <v>0.0140801992988401</v>
      </c>
      <c r="Q105" s="6">
        <v>0.960279101317144</v>
      </c>
      <c r="R105" s="6">
        <v>0.0271788717744864</v>
      </c>
      <c r="S105" s="6">
        <v>0.923403034969091</v>
      </c>
      <c r="T105" s="6">
        <v>-0.00814993572329832</v>
      </c>
      <c r="U105" s="6">
        <v>0.97700309455194</v>
      </c>
      <c r="W105" s="6" t="s">
        <v>22</v>
      </c>
      <c r="X105" s="6" t="s">
        <v>20</v>
      </c>
      <c r="Y105" s="6">
        <v>-0.69712719555771</v>
      </c>
      <c r="Z105" s="6">
        <v>0.00558738393628926</v>
      </c>
      <c r="AA105" s="15" t="s">
        <v>23</v>
      </c>
      <c r="AB105" s="1" t="s">
        <v>24</v>
      </c>
      <c r="AC105" s="1" t="s">
        <v>25</v>
      </c>
      <c r="AD105" s="1" t="s">
        <v>26</v>
      </c>
      <c r="AE105" s="1" t="s">
        <v>27</v>
      </c>
    </row>
    <row r="106" s="1" customFormat="1" spans="1:31">
      <c r="A106" s="2" t="s">
        <v>69</v>
      </c>
      <c r="B106" s="5" t="s">
        <v>11</v>
      </c>
      <c r="C106" s="6" t="s">
        <v>31</v>
      </c>
      <c r="D106" s="1">
        <v>52765</v>
      </c>
      <c r="E106" s="6">
        <v>-0.491152136868121</v>
      </c>
      <c r="F106" s="6">
        <v>0.0629987623265286</v>
      </c>
      <c r="G106" s="6">
        <v>0.26474579655455</v>
      </c>
      <c r="H106" s="6">
        <v>0.340302512618571</v>
      </c>
      <c r="I106" s="6">
        <v>-0.34466505130282</v>
      </c>
      <c r="J106" s="6">
        <v>0.208368993547802</v>
      </c>
      <c r="K106" s="6">
        <v>-0.0711397166634283</v>
      </c>
      <c r="L106" s="6">
        <v>0.801088633037732</v>
      </c>
      <c r="M106" s="6">
        <v>-0.492548450817803</v>
      </c>
      <c r="N106" s="6">
        <v>-0.282581150179552</v>
      </c>
      <c r="O106" s="6">
        <v>0.307501259799663</v>
      </c>
      <c r="P106" s="6">
        <v>0.600594403993694</v>
      </c>
      <c r="Q106" s="6">
        <v>0.0179064370403439</v>
      </c>
      <c r="R106" s="6">
        <v>-0.110345887251848</v>
      </c>
      <c r="S106" s="6">
        <v>0.695434330281214</v>
      </c>
      <c r="T106" s="6">
        <v>0.358534842216846</v>
      </c>
      <c r="U106" s="6">
        <v>0.189425876977137</v>
      </c>
      <c r="W106" s="6" t="s">
        <v>32</v>
      </c>
      <c r="X106" s="6" t="s">
        <v>31</v>
      </c>
      <c r="Y106" s="6">
        <v>0.452987649747173</v>
      </c>
      <c r="Z106" s="6">
        <v>0.103824785679472</v>
      </c>
      <c r="AA106" s="15" t="s">
        <v>88</v>
      </c>
      <c r="AB106" s="1">
        <v>0.5</v>
      </c>
      <c r="AC106" s="8">
        <v>0.0833333333333333</v>
      </c>
      <c r="AD106" s="7">
        <v>0.416666666666667</v>
      </c>
      <c r="AE106" s="1">
        <v>0</v>
      </c>
    </row>
    <row r="107" s="1" customFormat="1" spans="1:31">
      <c r="A107" s="2" t="s">
        <v>69</v>
      </c>
      <c r="B107" s="5" t="s">
        <v>11</v>
      </c>
      <c r="C107" s="6" t="s">
        <v>34</v>
      </c>
      <c r="D107" s="1">
        <v>52765</v>
      </c>
      <c r="E107" s="6">
        <v>0.322228045964426</v>
      </c>
      <c r="F107" s="6">
        <v>0.241482519746927</v>
      </c>
      <c r="G107" s="6">
        <v>0.0228692697192784</v>
      </c>
      <c r="H107" s="6">
        <v>0.935523111412741</v>
      </c>
      <c r="I107" s="6">
        <v>0.103018115249409</v>
      </c>
      <c r="J107" s="6">
        <v>0.714851658768801</v>
      </c>
      <c r="K107" s="6">
        <v>-0.042858510256356</v>
      </c>
      <c r="L107" s="6">
        <v>0.879456492950012</v>
      </c>
      <c r="M107" s="6">
        <v>0.443479328351619</v>
      </c>
      <c r="N107" s="6">
        <v>0.40092028663345</v>
      </c>
      <c r="O107" s="6">
        <v>0.138602059443899</v>
      </c>
      <c r="P107" s="6">
        <v>-0.23014867471272</v>
      </c>
      <c r="Q107" s="6">
        <v>0.409259539803932</v>
      </c>
      <c r="R107" s="6">
        <v>-0.118071110639834</v>
      </c>
      <c r="S107" s="6">
        <v>0.675152487629126</v>
      </c>
      <c r="T107" s="6">
        <v>-0.0166198442548734</v>
      </c>
      <c r="U107" s="6">
        <v>0.953121344420818</v>
      </c>
      <c r="W107" s="6" t="s">
        <v>35</v>
      </c>
      <c r="X107" s="6" t="s">
        <v>34</v>
      </c>
      <c r="Y107" s="6">
        <v>-0.604377932509755</v>
      </c>
      <c r="Z107" s="6">
        <v>0.0220617898098596</v>
      </c>
      <c r="AA107" s="15" t="s">
        <v>89</v>
      </c>
      <c r="AB107" s="7">
        <v>0.5</v>
      </c>
      <c r="AC107" s="1">
        <v>0</v>
      </c>
      <c r="AD107" s="7">
        <v>0.5</v>
      </c>
      <c r="AE107" s="1">
        <v>0</v>
      </c>
    </row>
    <row r="108" s="1" customFormat="1" spans="1:31">
      <c r="A108" s="2" t="s">
        <v>69</v>
      </c>
      <c r="B108" s="5" t="s">
        <v>11</v>
      </c>
      <c r="C108" s="6" t="s">
        <v>70</v>
      </c>
      <c r="D108" s="1">
        <v>52765</v>
      </c>
      <c r="E108" s="6">
        <v>-0.070183301312394</v>
      </c>
      <c r="F108" s="6">
        <v>0.819777385723834</v>
      </c>
      <c r="G108" s="6">
        <v>0.446135650852959</v>
      </c>
      <c r="H108" s="6">
        <v>0.126491268432402</v>
      </c>
      <c r="I108" s="6">
        <v>0.342717535696849</v>
      </c>
      <c r="J108" s="6">
        <v>0.251661089620411</v>
      </c>
      <c r="K108" s="6">
        <v>-0.501288688145735</v>
      </c>
      <c r="L108" s="6">
        <v>0.080954270275444</v>
      </c>
      <c r="M108" s="6">
        <v>0.162723314843746</v>
      </c>
      <c r="N108" s="6">
        <v>0.444022519396093</v>
      </c>
      <c r="O108" s="6">
        <v>0.128515494000188</v>
      </c>
      <c r="P108" s="6">
        <v>0.0646802723945185</v>
      </c>
      <c r="Q108" s="6">
        <v>0.83372403458433</v>
      </c>
      <c r="R108" s="6">
        <v>-0.123736869904011</v>
      </c>
      <c r="S108" s="6">
        <v>0.687139423687783</v>
      </c>
      <c r="T108" s="6">
        <v>-0.0359563297961301</v>
      </c>
      <c r="U108" s="6">
        <v>0.907164731134768</v>
      </c>
      <c r="W108" s="6" t="s">
        <v>71</v>
      </c>
      <c r="X108" s="6" t="s">
        <v>70</v>
      </c>
      <c r="Y108" s="6">
        <v>0.366408629550448</v>
      </c>
      <c r="Z108" s="6">
        <v>0.241414404678451</v>
      </c>
      <c r="AA108" s="15" t="s">
        <v>90</v>
      </c>
      <c r="AB108" s="7">
        <v>0.5</v>
      </c>
      <c r="AC108" s="1">
        <v>0</v>
      </c>
      <c r="AD108" s="7">
        <v>0.5</v>
      </c>
      <c r="AE108" s="1">
        <v>0</v>
      </c>
    </row>
    <row r="109" s="1" customFormat="1" spans="1:31">
      <c r="A109" s="2" t="s">
        <v>69</v>
      </c>
      <c r="B109" s="5" t="s">
        <v>11</v>
      </c>
      <c r="C109" s="6" t="s">
        <v>51</v>
      </c>
      <c r="D109" s="1">
        <v>52825</v>
      </c>
      <c r="E109" s="6">
        <v>0.0967248569188641</v>
      </c>
      <c r="F109" s="6">
        <v>0.742200041209023</v>
      </c>
      <c r="G109" s="6">
        <v>0.337049881097879</v>
      </c>
      <c r="H109" s="6">
        <v>0.238625965323849</v>
      </c>
      <c r="I109" s="6">
        <v>-0.40804359594691</v>
      </c>
      <c r="J109" s="6">
        <v>0.147517092923836</v>
      </c>
      <c r="K109" s="6">
        <v>0.18396692026296</v>
      </c>
      <c r="L109" s="6">
        <v>0.528972796965833</v>
      </c>
      <c r="M109" s="6">
        <v>-0.169395155932174</v>
      </c>
      <c r="N109" s="6">
        <v>-0.177937234189985</v>
      </c>
      <c r="O109" s="6">
        <v>0.5427922530305</v>
      </c>
      <c r="P109" s="6">
        <v>-0.021758448881978</v>
      </c>
      <c r="Q109" s="6">
        <v>0.941145648216983</v>
      </c>
      <c r="R109" s="6">
        <v>-0.0810590172980689</v>
      </c>
      <c r="S109" s="6">
        <v>0.782954806358156</v>
      </c>
      <c r="T109" s="6">
        <v>0.222227956716698</v>
      </c>
      <c r="U109" s="6">
        <v>0.445104282920285</v>
      </c>
      <c r="W109" s="6" t="s">
        <v>52</v>
      </c>
      <c r="X109" s="6" t="s">
        <v>51</v>
      </c>
      <c r="Y109" s="6">
        <v>-0.0870959598926476</v>
      </c>
      <c r="Z109" s="6">
        <v>0.77723487250245</v>
      </c>
      <c r="AA109" s="15" t="s">
        <v>92</v>
      </c>
      <c r="AB109" s="1">
        <v>0.333333333333333</v>
      </c>
      <c r="AC109" s="7">
        <v>0.0833333333333333</v>
      </c>
      <c r="AD109" s="1">
        <v>0.5</v>
      </c>
      <c r="AE109" s="7">
        <v>0.0833333333333333</v>
      </c>
    </row>
    <row r="110" s="1" customFormat="1" spans="1:31">
      <c r="A110" s="2" t="s">
        <v>69</v>
      </c>
      <c r="B110" s="5" t="s">
        <v>11</v>
      </c>
      <c r="C110" s="6" t="s">
        <v>72</v>
      </c>
      <c r="D110" s="1">
        <v>52825</v>
      </c>
      <c r="E110" s="6">
        <v>0.412294036672952</v>
      </c>
      <c r="F110" s="6">
        <v>0.182906440829795</v>
      </c>
      <c r="G110" s="6">
        <v>-0.0609285740082407</v>
      </c>
      <c r="H110" s="6">
        <v>0.85079828038653</v>
      </c>
      <c r="I110" s="6">
        <v>-0.00805206226747429</v>
      </c>
      <c r="J110" s="6">
        <v>0.980186090926824</v>
      </c>
      <c r="K110" s="6">
        <v>0.175389238756973</v>
      </c>
      <c r="L110" s="6">
        <v>0.585598120463557</v>
      </c>
      <c r="M110" s="6">
        <v>0.20875116962496</v>
      </c>
      <c r="N110" s="6">
        <v>-0.214970072055021</v>
      </c>
      <c r="O110" s="6">
        <v>0.502242605118386</v>
      </c>
      <c r="P110" s="6">
        <v>0.0160219295707164</v>
      </c>
      <c r="Q110" s="6">
        <v>0.960584524917887</v>
      </c>
      <c r="R110" s="6">
        <v>0.249455334586541</v>
      </c>
      <c r="S110" s="6">
        <v>0.434272051484335</v>
      </c>
      <c r="T110" s="6">
        <v>0.250124947464775</v>
      </c>
      <c r="U110" s="6">
        <v>0.432998537299883</v>
      </c>
      <c r="W110" s="6" t="s">
        <v>73</v>
      </c>
      <c r="X110" s="6" t="s">
        <v>72</v>
      </c>
      <c r="Y110" s="6">
        <v>0.177442816535351</v>
      </c>
      <c r="Z110" s="6">
        <v>0.601697150625413</v>
      </c>
      <c r="AA110" s="15" t="s">
        <v>93</v>
      </c>
      <c r="AB110" s="7">
        <v>0.416666666666667</v>
      </c>
      <c r="AC110" s="1">
        <v>0</v>
      </c>
      <c r="AD110" s="7">
        <v>0.583333333333333</v>
      </c>
      <c r="AE110" s="1">
        <v>0</v>
      </c>
    </row>
    <row r="111" s="1" customFormat="1" spans="1:31">
      <c r="A111" s="2" t="s">
        <v>69</v>
      </c>
      <c r="B111" s="5" t="s">
        <v>11</v>
      </c>
      <c r="C111" s="6" t="s">
        <v>12</v>
      </c>
      <c r="D111" s="1">
        <v>52868</v>
      </c>
      <c r="E111" s="6">
        <v>0.362793588077122</v>
      </c>
      <c r="F111" s="6">
        <v>0.183841289085873</v>
      </c>
      <c r="G111" s="6">
        <v>-0.383121896623795</v>
      </c>
      <c r="H111" s="6">
        <v>0.15866686116533</v>
      </c>
      <c r="I111" s="6">
        <v>-0.113859608517832</v>
      </c>
      <c r="J111" s="6">
        <v>0.686184683578717</v>
      </c>
      <c r="K111" s="6">
        <v>-0.201455378347771</v>
      </c>
      <c r="L111" s="6">
        <v>0.471538221299211</v>
      </c>
      <c r="M111" s="6">
        <v>0.40938237086805</v>
      </c>
      <c r="N111" s="6">
        <v>-0.164017699805924</v>
      </c>
      <c r="O111" s="6">
        <v>0.559148221978947</v>
      </c>
      <c r="P111" s="6">
        <v>-0.0848707720801106</v>
      </c>
      <c r="Q111" s="6">
        <v>0.763620882001659</v>
      </c>
      <c r="R111" s="6">
        <v>0.255075842849905</v>
      </c>
      <c r="S111" s="6">
        <v>0.358876997654391</v>
      </c>
      <c r="T111" s="6">
        <v>-0.17765917623838</v>
      </c>
      <c r="U111" s="6">
        <v>0.526440494132961</v>
      </c>
      <c r="W111" s="6" t="s">
        <v>16</v>
      </c>
      <c r="X111" s="6" t="s">
        <v>12</v>
      </c>
      <c r="Y111" s="6">
        <v>0.522689423592444</v>
      </c>
      <c r="Z111" s="6">
        <v>0.0551536260542621</v>
      </c>
      <c r="AA111" s="15" t="s">
        <v>94</v>
      </c>
      <c r="AB111" s="7">
        <v>0.5</v>
      </c>
      <c r="AC111" s="1">
        <v>0</v>
      </c>
      <c r="AD111" s="7">
        <v>0.5</v>
      </c>
      <c r="AE111" s="1">
        <v>0</v>
      </c>
    </row>
    <row r="112" s="1" customFormat="1" spans="1:31">
      <c r="A112" s="2" t="s">
        <v>69</v>
      </c>
      <c r="B112" s="5" t="s">
        <v>11</v>
      </c>
      <c r="C112" s="6" t="s">
        <v>74</v>
      </c>
      <c r="D112" s="1">
        <v>52868</v>
      </c>
      <c r="E112" s="6">
        <v>0.145840370964812</v>
      </c>
      <c r="F112" s="6">
        <v>0.604024035462694</v>
      </c>
      <c r="G112" s="6">
        <v>-0.0455592781966422</v>
      </c>
      <c r="H112" s="6">
        <v>0.871916325491604</v>
      </c>
      <c r="I112" s="6">
        <v>0.195464665909967</v>
      </c>
      <c r="J112" s="6">
        <v>0.485091986241008</v>
      </c>
      <c r="K112" s="6">
        <v>-0.319721315803923</v>
      </c>
      <c r="L112" s="6">
        <v>0.245372686998386</v>
      </c>
      <c r="M112" s="6">
        <v>0.326452285366416</v>
      </c>
      <c r="N112" s="6">
        <v>0.0243410418891192</v>
      </c>
      <c r="O112" s="6">
        <v>0.931382381163022</v>
      </c>
      <c r="P112" s="6">
        <v>0.0799732675405744</v>
      </c>
      <c r="Q112" s="6">
        <v>0.776933278495499</v>
      </c>
      <c r="R112" s="6">
        <v>0.421558386379465</v>
      </c>
      <c r="S112" s="6">
        <v>0.117574460592578</v>
      </c>
      <c r="T112" s="6">
        <v>-0.199733054872741</v>
      </c>
      <c r="U112" s="6">
        <v>0.475415989709649</v>
      </c>
      <c r="W112" s="6" t="s">
        <v>75</v>
      </c>
      <c r="X112" s="6" t="s">
        <v>74</v>
      </c>
      <c r="Y112" s="6">
        <v>0.386567611436825</v>
      </c>
      <c r="Z112" s="6">
        <v>0.172145629560897</v>
      </c>
      <c r="AA112" s="15" t="s">
        <v>95</v>
      </c>
      <c r="AB112" s="7">
        <v>0.416666666666667</v>
      </c>
      <c r="AC112" s="1">
        <v>0</v>
      </c>
      <c r="AD112" s="7">
        <v>0.583333333333333</v>
      </c>
      <c r="AE112" s="1">
        <v>0</v>
      </c>
    </row>
    <row r="113" s="1" customFormat="1" spans="1:31">
      <c r="A113" s="2" t="s">
        <v>69</v>
      </c>
      <c r="B113" s="5" t="s">
        <v>11</v>
      </c>
      <c r="C113" s="6" t="s">
        <v>72</v>
      </c>
      <c r="D113" s="1">
        <v>52868</v>
      </c>
      <c r="E113" s="6">
        <v>0.524400925688164</v>
      </c>
      <c r="F113" s="6">
        <v>0.0447715692039709</v>
      </c>
      <c r="G113" s="6">
        <v>0.027170640445332</v>
      </c>
      <c r="H113" s="6">
        <v>0.923426170181916</v>
      </c>
      <c r="I113" s="6">
        <v>-0.25488579798184</v>
      </c>
      <c r="J113" s="6">
        <v>0.359247549707423</v>
      </c>
      <c r="K113" s="6">
        <v>0.0708172562720823</v>
      </c>
      <c r="L113" s="6">
        <v>0.801973708511072</v>
      </c>
      <c r="M113" s="6">
        <v>0.288368697181385</v>
      </c>
      <c r="N113" s="6">
        <v>-0.195140230165481</v>
      </c>
      <c r="O113" s="6">
        <v>0.485831258605961</v>
      </c>
      <c r="P113" s="6">
        <v>-0.297205253391221</v>
      </c>
      <c r="Q113" s="6">
        <v>0.282035591564588</v>
      </c>
      <c r="R113" s="6">
        <v>-0.322319468485397</v>
      </c>
      <c r="S113" s="6">
        <v>0.241341367583183</v>
      </c>
      <c r="T113" s="6">
        <v>0.0748218795681091</v>
      </c>
      <c r="U113" s="6">
        <v>0.790998143052319</v>
      </c>
      <c r="W113" s="6" t="s">
        <v>73</v>
      </c>
      <c r="X113" s="6" t="s">
        <v>72</v>
      </c>
      <c r="Y113" s="6">
        <v>0.675849915834885</v>
      </c>
      <c r="Z113" s="6">
        <v>0.0079726787214172</v>
      </c>
      <c r="AA113" s="15" t="s">
        <v>96</v>
      </c>
      <c r="AB113" s="7">
        <v>0.416666666666667</v>
      </c>
      <c r="AC113" s="16">
        <v>0</v>
      </c>
      <c r="AD113" s="7">
        <v>0.583333333333333</v>
      </c>
      <c r="AE113" s="1">
        <v>0</v>
      </c>
    </row>
    <row r="114" s="1" customFormat="1" spans="1:31">
      <c r="A114" s="2" t="s">
        <v>69</v>
      </c>
      <c r="B114" s="5" t="s">
        <v>11</v>
      </c>
      <c r="C114" s="6" t="s">
        <v>20</v>
      </c>
      <c r="D114" s="1">
        <v>52955</v>
      </c>
      <c r="E114" s="6">
        <v>-0.289555351374363</v>
      </c>
      <c r="F114" s="6">
        <v>0.449797264434241</v>
      </c>
      <c r="G114" s="6">
        <v>-0.247471238258953</v>
      </c>
      <c r="H114" s="6">
        <v>0.520880879163071</v>
      </c>
      <c r="I114" s="6">
        <v>0.0738833863739918</v>
      </c>
      <c r="J114" s="6">
        <v>0.85016900295258</v>
      </c>
      <c r="K114" s="6">
        <v>-0.0667217542399892</v>
      </c>
      <c r="L114" s="6">
        <v>0.864578804941372</v>
      </c>
      <c r="M114" s="6">
        <v>0.232975129496123</v>
      </c>
      <c r="N114" s="6">
        <v>0.0453495133314789</v>
      </c>
      <c r="O114" s="6">
        <v>0.907772914862612</v>
      </c>
      <c r="P114" s="6">
        <v>-0.0847209171285372</v>
      </c>
      <c r="Q114" s="6">
        <v>0.828436968701973</v>
      </c>
      <c r="R114" s="6">
        <v>0.296865498457838</v>
      </c>
      <c r="S114" s="6">
        <v>0.437902639570508</v>
      </c>
      <c r="T114" s="6">
        <v>-0.147083096840046</v>
      </c>
      <c r="U114" s="6">
        <v>0.705714107910887</v>
      </c>
      <c r="W114" s="6" t="s">
        <v>22</v>
      </c>
      <c r="X114" s="6" t="s">
        <v>20</v>
      </c>
      <c r="Y114" s="6">
        <v>-0.508021911920712</v>
      </c>
      <c r="Z114" s="6">
        <v>0.198661290888144</v>
      </c>
      <c r="AA114" s="1" t="s">
        <v>40</v>
      </c>
      <c r="AB114" s="1">
        <v>0.416666666666667</v>
      </c>
      <c r="AC114" s="7">
        <v>0.166666666666667</v>
      </c>
      <c r="AD114" s="1">
        <v>0.25</v>
      </c>
      <c r="AE114" s="7">
        <v>0.166666666666667</v>
      </c>
    </row>
    <row r="115" s="1" customFormat="1" spans="1:26">
      <c r="A115" s="2" t="s">
        <v>69</v>
      </c>
      <c r="B115" s="5" t="s">
        <v>11</v>
      </c>
      <c r="C115" s="6" t="s">
        <v>31</v>
      </c>
      <c r="D115" s="1">
        <v>52955</v>
      </c>
      <c r="E115" s="6">
        <v>-0.566923491783547</v>
      </c>
      <c r="F115" s="6">
        <v>0.111434409420742</v>
      </c>
      <c r="G115" s="6">
        <v>-0.553313928623493</v>
      </c>
      <c r="H115" s="6">
        <v>0.122251642701895</v>
      </c>
      <c r="I115" s="6">
        <v>-0.461403914390169</v>
      </c>
      <c r="J115" s="6">
        <v>0.211233737795287</v>
      </c>
      <c r="K115" s="6">
        <v>0.220370757916224</v>
      </c>
      <c r="L115" s="6">
        <v>0.568837799464628</v>
      </c>
      <c r="M115" s="6">
        <v>0.220795075668121</v>
      </c>
      <c r="N115" s="6">
        <v>0.237272539234217</v>
      </c>
      <c r="O115" s="6">
        <v>0.538739009639959</v>
      </c>
      <c r="P115" s="6">
        <v>-0.662059435122715</v>
      </c>
      <c r="Q115" s="6">
        <v>0.0520563498593841</v>
      </c>
      <c r="R115" s="6">
        <v>-0.603678745986333</v>
      </c>
      <c r="S115" s="6">
        <v>0.0851882468345481</v>
      </c>
      <c r="T115" s="6">
        <v>0.567333504178513</v>
      </c>
      <c r="U115" s="6">
        <v>0.111117827503352</v>
      </c>
      <c r="W115" s="6" t="s">
        <v>32</v>
      </c>
      <c r="X115" s="6" t="s">
        <v>31</v>
      </c>
      <c r="Y115" s="6">
        <v>-0.623905246590031</v>
      </c>
      <c r="Z115" s="6">
        <v>0.0983019377847119</v>
      </c>
    </row>
    <row r="116" s="1" customFormat="1" spans="1:30">
      <c r="A116" s="2" t="s">
        <v>69</v>
      </c>
      <c r="B116" s="5" t="s">
        <v>11</v>
      </c>
      <c r="C116" s="6" t="s">
        <v>34</v>
      </c>
      <c r="D116" s="1">
        <v>52955</v>
      </c>
      <c r="E116" s="6">
        <v>-0.445619875932904</v>
      </c>
      <c r="F116" s="6">
        <v>0.229315475147342</v>
      </c>
      <c r="G116" s="6">
        <v>-0.0486056815471105</v>
      </c>
      <c r="H116" s="6">
        <v>0.901176055498096</v>
      </c>
      <c r="I116" s="6">
        <v>-0.22603546824623</v>
      </c>
      <c r="J116" s="6">
        <v>0.558681853806801</v>
      </c>
      <c r="K116" s="6">
        <v>0.600382262140416</v>
      </c>
      <c r="L116" s="6">
        <v>0.0873678807475902</v>
      </c>
      <c r="M116" s="6">
        <v>-0.0249521237752448</v>
      </c>
      <c r="N116" s="6">
        <v>-0.312473897285934</v>
      </c>
      <c r="O116" s="6">
        <v>0.412979603541254</v>
      </c>
      <c r="P116" s="6">
        <v>-0.169583707762946</v>
      </c>
      <c r="Q116" s="6">
        <v>0.662699572962915</v>
      </c>
      <c r="R116" s="6">
        <v>0.411184127176652</v>
      </c>
      <c r="S116" s="6">
        <v>0.271567713530498</v>
      </c>
      <c r="T116" s="6">
        <v>-0.435363158933997</v>
      </c>
      <c r="U116" s="6">
        <v>0.24150056243611</v>
      </c>
      <c r="W116" s="6" t="s">
        <v>35</v>
      </c>
      <c r="X116" s="6" t="s">
        <v>34</v>
      </c>
      <c r="Y116" s="6">
        <v>0.643985048787363</v>
      </c>
      <c r="Z116" s="6">
        <v>0.0848326458979644</v>
      </c>
      <c r="AC116" s="1">
        <f>AB114+AC114</f>
        <v>0.583333333333334</v>
      </c>
      <c r="AD116" s="1">
        <f>AD114+AE114</f>
        <v>0.416666666666667</v>
      </c>
    </row>
    <row r="117" s="1" customFormat="1" spans="1:26">
      <c r="A117" s="2"/>
      <c r="D117" s="1" t="s">
        <v>48</v>
      </c>
      <c r="E117" s="1">
        <v>7</v>
      </c>
      <c r="F117" s="1">
        <v>1</v>
      </c>
      <c r="G117" s="8">
        <v>6</v>
      </c>
      <c r="H117" s="8">
        <v>0</v>
      </c>
      <c r="I117" s="1">
        <v>5</v>
      </c>
      <c r="J117" s="1">
        <v>0</v>
      </c>
      <c r="K117" s="1">
        <v>5</v>
      </c>
      <c r="L117" s="1">
        <v>0</v>
      </c>
      <c r="N117" s="16">
        <v>6</v>
      </c>
      <c r="O117" s="16">
        <v>0</v>
      </c>
      <c r="P117" s="1">
        <v>5</v>
      </c>
      <c r="Q117" s="1">
        <v>1</v>
      </c>
      <c r="R117" s="1">
        <v>6</v>
      </c>
      <c r="S117" s="1">
        <v>0</v>
      </c>
      <c r="T117" s="1">
        <v>5</v>
      </c>
      <c r="U117" s="1">
        <v>0</v>
      </c>
      <c r="Y117" s="8">
        <v>7</v>
      </c>
      <c r="Z117" s="8">
        <v>2</v>
      </c>
    </row>
    <row r="118" s="1" customFormat="1" spans="1:26">
      <c r="A118" s="2"/>
      <c r="D118" s="1" t="s">
        <v>49</v>
      </c>
      <c r="E118" s="1">
        <v>5</v>
      </c>
      <c r="F118" s="1">
        <v>0</v>
      </c>
      <c r="G118" s="8">
        <v>6</v>
      </c>
      <c r="H118" s="8">
        <v>0</v>
      </c>
      <c r="I118" s="1">
        <v>7</v>
      </c>
      <c r="J118" s="1">
        <v>0</v>
      </c>
      <c r="K118" s="1">
        <v>7</v>
      </c>
      <c r="L118" s="1">
        <v>0</v>
      </c>
      <c r="N118" s="16">
        <v>6</v>
      </c>
      <c r="O118" s="16">
        <v>0</v>
      </c>
      <c r="P118" s="1">
        <v>7</v>
      </c>
      <c r="Q118" s="1">
        <v>1</v>
      </c>
      <c r="R118" s="1">
        <v>6</v>
      </c>
      <c r="S118" s="1">
        <v>0</v>
      </c>
      <c r="T118" s="1">
        <v>7</v>
      </c>
      <c r="U118" s="1">
        <v>0</v>
      </c>
      <c r="Y118" s="8">
        <v>5</v>
      </c>
      <c r="Z118" s="8">
        <v>2</v>
      </c>
    </row>
  </sheetData>
  <mergeCells count="37">
    <mergeCell ref="E1:F1"/>
    <mergeCell ref="G1:H1"/>
    <mergeCell ref="I1:J1"/>
    <mergeCell ref="K1:L1"/>
    <mergeCell ref="N1:O1"/>
    <mergeCell ref="P1:Q1"/>
    <mergeCell ref="R1:S1"/>
    <mergeCell ref="T1:U1"/>
    <mergeCell ref="Y1:Z1"/>
    <mergeCell ref="AA1:AB1"/>
    <mergeCell ref="AC1:AD1"/>
    <mergeCell ref="AE1:AF1"/>
    <mergeCell ref="AI1:AJ1"/>
    <mergeCell ref="AK1:AL1"/>
    <mergeCell ref="AM1:AN1"/>
    <mergeCell ref="AO1:AP1"/>
    <mergeCell ref="AQ1:AR1"/>
    <mergeCell ref="AF59:AG59"/>
    <mergeCell ref="AI59:AJ59"/>
    <mergeCell ref="AL59:AM59"/>
    <mergeCell ref="E63:F63"/>
    <mergeCell ref="G63:H63"/>
    <mergeCell ref="I63:J63"/>
    <mergeCell ref="K63:L63"/>
    <mergeCell ref="N63:O63"/>
    <mergeCell ref="P63:Q63"/>
    <mergeCell ref="R63:S63"/>
    <mergeCell ref="T63:U63"/>
    <mergeCell ref="AF68:AG68"/>
    <mergeCell ref="AH68:AI68"/>
    <mergeCell ref="AJ68:AK68"/>
    <mergeCell ref="AL68:AM68"/>
    <mergeCell ref="AO68:AP68"/>
    <mergeCell ref="AQ68:AR68"/>
    <mergeCell ref="AS68:AT68"/>
    <mergeCell ref="AU68:AV68"/>
    <mergeCell ref="AW68:AX6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4" sqref="B3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田明震</cp:lastModifiedBy>
  <dcterms:created xsi:type="dcterms:W3CDTF">2023-05-12T11:15:00Z</dcterms:created>
  <dcterms:modified xsi:type="dcterms:W3CDTF">2025-10-12T06:26:11Z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793C2C1E2EBC41B18618529C5DA191F3_12</vt:lpwstr>
  </property>
</Properties>
</file>